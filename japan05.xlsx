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pan 2" sheetId="1" r:id="rId5"/>
    <sheet state="visible" name="ชีต3" sheetId="2" r:id="rId6"/>
    <sheet state="visible" name=" สรุปยอด 2" sheetId="3" r:id="rId7"/>
    <sheet state="visible" name="รวมยอดลูกค้า" sheetId="4" r:id="rId8"/>
  </sheets>
  <definedNames>
    <definedName hidden="1" localSheetId="0" name="_xlnm._FilterDatabase">'Japan 2'!$A$1:$G$481</definedName>
  </definedNames>
  <calcPr/>
</workbook>
</file>

<file path=xl/sharedStrings.xml><?xml version="1.0" encoding="utf-8"?>
<sst xmlns="http://schemas.openxmlformats.org/spreadsheetml/2006/main" count="1051" uniqueCount="377">
  <si>
    <t>ลำดับ</t>
  </si>
  <si>
    <t>ชื่อ</t>
  </si>
  <si>
    <t>รายการสินค้า</t>
  </si>
  <si>
    <t>จำนวน</t>
  </si>
  <si>
    <t>ราคา/ชิ้น</t>
  </si>
  <si>
    <t>ราคารวม</t>
  </si>
  <si>
    <t>Joyya</t>
  </si>
  <si>
    <t>birken boston mocha 42</t>
  </si>
  <si>
    <t>plearn</t>
  </si>
  <si>
    <t>face mask medicube ชมพู</t>
  </si>
  <si>
    <t>kose gluta bomb ชมพู</t>
  </si>
  <si>
    <t>may</t>
  </si>
  <si>
    <t>ฮาดะทองใสแถบแดง (ขวด)</t>
  </si>
  <si>
    <t>sukwasa</t>
  </si>
  <si>
    <t>medicube pro x2 pink</t>
  </si>
  <si>
    <t>fonjinda</t>
  </si>
  <si>
    <t>ฮาดะทองใสแถบแดง (รีฟิล)</t>
  </si>
  <si>
    <t>จอมโหด</t>
  </si>
  <si>
    <t>Mt</t>
  </si>
  <si>
    <t>urea cream กระปุก</t>
  </si>
  <si>
    <t>มาส์กข้าว</t>
  </si>
  <si>
    <t>7-11 แซนวิสส้ม</t>
  </si>
  <si>
    <t>7-11 ลิ้นแมวไวท์</t>
  </si>
  <si>
    <t>Pomme</t>
  </si>
  <si>
    <t>geda</t>
  </si>
  <si>
    <t>Dior forever glow luminizer limited edition</t>
  </si>
  <si>
    <t>tingting</t>
  </si>
  <si>
    <t>Arc'teryx  s-m</t>
  </si>
  <si>
    <t>waran</t>
  </si>
  <si>
    <t>มาส์ก PDC red</t>
  </si>
  <si>
    <t>piggy</t>
  </si>
  <si>
    <t xml:space="preserve">7-11 ถั่วฟ้า </t>
  </si>
  <si>
    <t>matcha cream cracker</t>
  </si>
  <si>
    <t>สนามบิน NY 12 pc</t>
  </si>
  <si>
    <t>สนามบิน potato farm red</t>
  </si>
  <si>
    <t xml:space="preserve">สนามบิน shiroi </t>
  </si>
  <si>
    <t>ฮาดะน้ำเงินแถบขาว (ขวด)</t>
  </si>
  <si>
    <t>bell</t>
  </si>
  <si>
    <t>ฮาดะแดงแถบขาว (ขวด)</t>
  </si>
  <si>
    <t>nuch</t>
  </si>
  <si>
    <t>Lip dhc ฟ้า</t>
  </si>
  <si>
    <t>Lip dhc ปกติ</t>
  </si>
  <si>
    <t>Lip dhc เทา</t>
  </si>
  <si>
    <t>Lip dhc หน้ายิ้ม</t>
  </si>
  <si>
    <t>JR</t>
  </si>
  <si>
    <t>elixir sleeping brightening</t>
  </si>
  <si>
    <t>canmake fit glow cushion 01</t>
  </si>
  <si>
    <t>elixir กันแดด brightening</t>
  </si>
  <si>
    <t>canmake ไฮไลท์ 02</t>
  </si>
  <si>
    <t>ชมพู</t>
  </si>
  <si>
    <t>canmake ไฮไลท์ 03</t>
  </si>
  <si>
    <t>หยดส้วมชมพู</t>
  </si>
  <si>
    <t>Airrr</t>
  </si>
  <si>
    <t>mask anua green</t>
  </si>
  <si>
    <t>mask anua blue</t>
  </si>
  <si>
    <t>Mint</t>
  </si>
  <si>
    <t>maputi สบู่ล้าง</t>
  </si>
  <si>
    <t>bow</t>
  </si>
  <si>
    <t>น้ำตบ C แถบแดง</t>
  </si>
  <si>
    <t>ฮาดะแดงแถบขาว (รีฟิล)</t>
  </si>
  <si>
    <t>แนน</t>
  </si>
  <si>
    <t>Elixir กันแดด tone up</t>
  </si>
  <si>
    <t>dior backstage palette 02</t>
  </si>
  <si>
    <t>7-11 แซนวิสฟ้า</t>
  </si>
  <si>
    <t xml:space="preserve">fino </t>
  </si>
  <si>
    <t>meiji</t>
  </si>
  <si>
    <t>quality ส้ม super pdrn</t>
  </si>
  <si>
    <t>aluli</t>
  </si>
  <si>
    <t>june</t>
  </si>
  <si>
    <t>dior backstage palette 03</t>
  </si>
  <si>
    <t>thanatchanan</t>
  </si>
  <si>
    <t>canmake แป้งรีฟิล ทอง02</t>
  </si>
  <si>
    <t>canmake เขียนคิ้ว 01</t>
  </si>
  <si>
    <t>biore aqua rich ฟ้า</t>
  </si>
  <si>
    <t>นุ่น</t>
  </si>
  <si>
    <t xml:space="preserve">7-11 ทาโร่เล็ก </t>
  </si>
  <si>
    <t>ครีม muhi</t>
  </si>
  <si>
    <t>แก้เจ็บคอชมพู</t>
  </si>
  <si>
    <t>แก้เจ็บคอฟ้า</t>
  </si>
  <si>
    <t>yui</t>
  </si>
  <si>
    <t>fukkurinko rice mask</t>
  </si>
  <si>
    <t>canmake base 02</t>
  </si>
  <si>
    <t>elixir balance</t>
  </si>
  <si>
    <t>bencho</t>
  </si>
  <si>
    <t>medicube pro x2 white</t>
  </si>
  <si>
    <t>nnayne</t>
  </si>
  <si>
    <t>แป้ง baby</t>
  </si>
  <si>
    <t>nivea cherry red</t>
  </si>
  <si>
    <t>mentholatum</t>
  </si>
  <si>
    <t>ebapp</t>
  </si>
  <si>
    <t>canmake แป้งขาว</t>
  </si>
  <si>
    <t>pookie</t>
  </si>
  <si>
    <t>dada</t>
  </si>
  <si>
    <t>elixir cleansing oil</t>
  </si>
  <si>
    <t>bobelle</t>
  </si>
  <si>
    <t>maputi</t>
  </si>
  <si>
    <t>toeii</t>
  </si>
  <si>
    <t>tsubaki แชมพู แดง</t>
  </si>
  <si>
    <t>tsubaki ครีมนวด แดง</t>
  </si>
  <si>
    <t>ยาหยอดตาส้ม</t>
  </si>
  <si>
    <t>maiiz</t>
  </si>
  <si>
    <t>elixir total v</t>
  </si>
  <si>
    <t>elixir serum</t>
  </si>
  <si>
    <t>elixie กันแดดธรรมดา</t>
  </si>
  <si>
    <t>elixir design time serum</t>
  </si>
  <si>
    <t>canmake คุมมันเขียว</t>
  </si>
  <si>
    <t xml:space="preserve">แปรง rosy rosa </t>
  </si>
  <si>
    <t>eye cream white</t>
  </si>
  <si>
    <t>กระต่าย</t>
  </si>
  <si>
    <t>กิ๊บ esther white</t>
  </si>
  <si>
    <t>กิ๊บ esther purple</t>
  </si>
  <si>
    <t>สมุด esther</t>
  </si>
  <si>
    <t>lululun purple</t>
  </si>
  <si>
    <t>canmake cream cheek 16</t>
  </si>
  <si>
    <t>canmake cream cheek 23</t>
  </si>
  <si>
    <t>มาส์กข้าวแบบล้างออก</t>
  </si>
  <si>
    <t>aommy</t>
  </si>
  <si>
    <t>anua 15+</t>
  </si>
  <si>
    <t>mint</t>
  </si>
  <si>
    <t>maputi (no)</t>
  </si>
  <si>
    <t>Bee</t>
  </si>
  <si>
    <t xml:space="preserve">estee </t>
  </si>
  <si>
    <t>Metholatum water lip</t>
  </si>
  <si>
    <t>Aom</t>
  </si>
  <si>
    <t>Quality gold</t>
  </si>
  <si>
    <t>7-11  บ๊วยน้ำผึ้ง</t>
  </si>
  <si>
    <t>eye cream red</t>
  </si>
  <si>
    <t>ปอย</t>
  </si>
  <si>
    <t>your</t>
  </si>
  <si>
    <t>ยาสีฟัน pro 2 สูตร</t>
  </si>
  <si>
    <t>mask eye quality</t>
  </si>
  <si>
    <t>anua10+</t>
  </si>
  <si>
    <t>sugar butter sand tree green</t>
  </si>
  <si>
    <t>เมกกะ</t>
  </si>
  <si>
    <t>กาชา snoopy</t>
  </si>
  <si>
    <t>lion red</t>
  </si>
  <si>
    <t>ยาแก้เมาเรือ</t>
  </si>
  <si>
    <t>xxm</t>
  </si>
  <si>
    <t>skin aqua lavender</t>
  </si>
  <si>
    <t>melty cream lip blue</t>
  </si>
  <si>
    <t>skin aqua essence</t>
  </si>
  <si>
    <t>เสื้อ mofusan</t>
  </si>
  <si>
    <t>ช้อนส้อม mofusan</t>
  </si>
  <si>
    <t>กิ๊บ mofusan</t>
  </si>
  <si>
    <t>กระดาษ note mofusan</t>
  </si>
  <si>
    <t>กาชากระเป๋า mofusan</t>
  </si>
  <si>
    <t>กาชากระป๋อง</t>
  </si>
  <si>
    <t>กาชา care bear</t>
  </si>
  <si>
    <t>พกจ kitty</t>
  </si>
  <si>
    <t>cleansing gel muji large</t>
  </si>
  <si>
    <t>พี่พลอย</t>
  </si>
  <si>
    <t>vitamin dha</t>
  </si>
  <si>
    <t>owala 16oz</t>
  </si>
  <si>
    <t>sugar butter sand tree blue</t>
  </si>
  <si>
    <t xml:space="preserve">ม่อนชิ </t>
  </si>
  <si>
    <t>Elixir sleeping</t>
  </si>
  <si>
    <t>น้องข้าว</t>
  </si>
  <si>
    <t>naynay</t>
  </si>
  <si>
    <t>wako 40 g</t>
  </si>
  <si>
    <t>samidori</t>
  </si>
  <si>
    <t>kwang</t>
  </si>
  <si>
    <t>ayanomori</t>
  </si>
  <si>
    <t>matsu kaze 30 g</t>
  </si>
  <si>
    <t>wako 20 g</t>
  </si>
  <si>
    <t>nunthicha</t>
  </si>
  <si>
    <t>ippudo</t>
  </si>
  <si>
    <t>nakamura fujino</t>
  </si>
  <si>
    <t>Poy</t>
  </si>
  <si>
    <t>หมวก uv 3coin</t>
  </si>
  <si>
    <t>sosck yoga 3coin</t>
  </si>
  <si>
    <t>เสื้อกล้ามซับใน 3coin</t>
  </si>
  <si>
    <t>magnet 3coin</t>
  </si>
  <si>
    <t>clear box squre 3coin</t>
  </si>
  <si>
    <t>clear box bag L 3coin</t>
  </si>
  <si>
    <t>หยอดตาน้ำเงิน</t>
  </si>
  <si>
    <t>ม่อนชิทอม</t>
  </si>
  <si>
    <t>ม่อนชิเจอรี่</t>
  </si>
  <si>
    <t>tammy</t>
  </si>
  <si>
    <t>กาชาเป๋า</t>
  </si>
  <si>
    <t>malty</t>
  </si>
  <si>
    <t>matsukase 40</t>
  </si>
  <si>
    <t>ippudo 729</t>
  </si>
  <si>
    <t>ippudo white</t>
  </si>
  <si>
    <t>7-11 peanut choc</t>
  </si>
  <si>
    <t>ein</t>
  </si>
  <si>
    <t>quality yellow</t>
  </si>
  <si>
    <t>หงส์</t>
  </si>
  <si>
    <t>dior แก้ม 001</t>
  </si>
  <si>
    <t>dior ตา 002</t>
  </si>
  <si>
    <t>dior highlight 001</t>
  </si>
  <si>
    <t>noshimukashi</t>
  </si>
  <si>
    <t>saijo hatsu</t>
  </si>
  <si>
    <t>owala 24oz</t>
  </si>
  <si>
    <t>gu กล้าม 219</t>
  </si>
  <si>
    <t>gu กล้าม 239</t>
  </si>
  <si>
    <t>sw</t>
  </si>
  <si>
    <t>tripod 3 coin</t>
  </si>
  <si>
    <t>meal apron 3 coin</t>
  </si>
  <si>
    <t>f</t>
  </si>
  <si>
    <t>fuku juen</t>
  </si>
  <si>
    <t>มิน</t>
  </si>
  <si>
    <t>ขนมจิ้งจอก</t>
  </si>
  <si>
    <t>tao</t>
  </si>
  <si>
    <t>hoho dark ถุง</t>
  </si>
  <si>
    <t>hojicha a</t>
  </si>
  <si>
    <t>ippudo ถูก</t>
  </si>
  <si>
    <t>Tigamo</t>
  </si>
  <si>
    <t>aom</t>
  </si>
  <si>
    <t>Transino 180</t>
  </si>
  <si>
    <t>oor</t>
  </si>
  <si>
    <t>Zin</t>
  </si>
  <si>
    <t>กิ๊บ</t>
  </si>
  <si>
    <t>Mask medicube purple</t>
  </si>
  <si>
    <t xml:space="preserve">Cleansing pink </t>
  </si>
  <si>
    <t>pinnn</t>
  </si>
  <si>
    <t>กิ๊บคุโรมิ</t>
  </si>
  <si>
    <t>kitkat sake</t>
  </si>
  <si>
    <t>7-11 ช้อกแท่ง</t>
  </si>
  <si>
    <t>7-11 mixed nut</t>
  </si>
  <si>
    <t>ชุดเด็ก  uniqlo</t>
  </si>
  <si>
    <t>wimwipha</t>
  </si>
  <si>
    <t>น้ำตาเทียม</t>
  </si>
  <si>
    <t>gamgamms</t>
  </si>
  <si>
    <t>กระโปรงเทา xl</t>
  </si>
  <si>
    <t>7-11 บ๊วยน้ำผึ้ง</t>
  </si>
  <si>
    <t xml:space="preserve"> 3 coin uv </t>
  </si>
  <si>
    <t>3 coin clear bag wide</t>
  </si>
  <si>
    <t>3 coin ผ้าขนหนู</t>
  </si>
  <si>
    <t>3 coin tissue</t>
  </si>
  <si>
    <t>daiso silver ware pocket</t>
  </si>
  <si>
    <t>daiso sponge holder</t>
  </si>
  <si>
    <t>starbuck ตีฟอง</t>
  </si>
  <si>
    <t>daiso ถนอมสาย</t>
  </si>
  <si>
    <t>daiso เป๋าฟ้า</t>
  </si>
  <si>
    <t>daiso ลับมีด</t>
  </si>
  <si>
    <t>7-11 รวมกรอบ</t>
  </si>
  <si>
    <t>เยลลี่ม่วง</t>
  </si>
  <si>
    <t>7-11 น้ำยูสุ</t>
  </si>
  <si>
    <t>jj</t>
  </si>
  <si>
    <t>สายชินนาม่อน</t>
  </si>
  <si>
    <t>กาชาโคนัน</t>
  </si>
  <si>
    <t>คิตตี้ใหญ่</t>
  </si>
  <si>
    <t>miffy</t>
  </si>
  <si>
    <t>ถุง shopping 2</t>
  </si>
  <si>
    <t>ถุง shopping 3</t>
  </si>
  <si>
    <t>รองเท้า gu</t>
  </si>
  <si>
    <t>กาชาครัวซอง</t>
  </si>
  <si>
    <t>กาชา x sanrio</t>
  </si>
  <si>
    <t>จาน mofu</t>
  </si>
  <si>
    <t>quality ขาว</t>
  </si>
  <si>
    <t>quality ม่วง</t>
  </si>
  <si>
    <t>quality แดง</t>
  </si>
  <si>
    <t>daiso หูรูด kirby</t>
  </si>
  <si>
    <t>bp</t>
  </si>
  <si>
    <t>dior lipglow 001</t>
  </si>
  <si>
    <t>pomme</t>
  </si>
  <si>
    <t>เสื้อ mancity gu</t>
  </si>
  <si>
    <t>7-11 sandwich strawberry</t>
  </si>
  <si>
    <t>lululun eye mask</t>
  </si>
  <si>
    <t>k</t>
  </si>
  <si>
    <t>น้ำตาเทียมน้ำเงิน</t>
  </si>
  <si>
    <t>contact lens -325</t>
  </si>
  <si>
    <t>gel ส้วม peach</t>
  </si>
  <si>
    <t>gel ส้วม เขียว</t>
  </si>
  <si>
    <t>daiso glasses cleaning cloth</t>
  </si>
  <si>
    <t>7-11 almond choc</t>
  </si>
  <si>
    <t>7-11 บ๊วยเขียว</t>
  </si>
  <si>
    <t>7-11 บ๊วยฟ้า</t>
  </si>
  <si>
    <t>hada brightening facial serum</t>
  </si>
  <si>
    <t>afia</t>
  </si>
  <si>
    <t>gu ชุดนอน</t>
  </si>
  <si>
    <t>ami</t>
  </si>
  <si>
    <t>gel ส้วม กุหลาบ</t>
  </si>
  <si>
    <t>gel ส้วม ดอกไม้</t>
  </si>
  <si>
    <t>ถุงเท้าเก้าอี้ mickey mouse</t>
  </si>
  <si>
    <t>ถุงเท้าเก้าอี้ แมว</t>
  </si>
  <si>
    <t>เข็มขัด gu</t>
  </si>
  <si>
    <t>7-11 ถั่ว soy sauce</t>
  </si>
  <si>
    <t>7-11 ถั่ว cheese</t>
  </si>
  <si>
    <t>kitkat matcha choc</t>
  </si>
  <si>
    <t>kitkat matcha</t>
  </si>
  <si>
    <t>kitkat strawberry</t>
  </si>
  <si>
    <t>black thunder ขาว</t>
  </si>
  <si>
    <t>pistachio</t>
  </si>
  <si>
    <t>kameda</t>
  </si>
  <si>
    <t>ทาโร่</t>
  </si>
  <si>
    <t>mofu ยก box</t>
  </si>
  <si>
    <t>ผ้า mofu</t>
  </si>
  <si>
    <t>ผ้าเช็ดหน้า mofu</t>
  </si>
  <si>
    <t>ตุ๊กตา mofuใหญ่</t>
  </si>
  <si>
    <t>ตุ๊กตา mofuเล็ก</t>
  </si>
  <si>
    <t>พวงกุญแจ mofu</t>
  </si>
  <si>
    <t>7-11 calbee</t>
  </si>
  <si>
    <t>anua 100+</t>
  </si>
  <si>
    <t>aqualabel ทอง</t>
  </si>
  <si>
    <t>aqualabel แดง</t>
  </si>
  <si>
    <t>hada กล่องฟ้า</t>
  </si>
  <si>
    <t>cypher</t>
  </si>
  <si>
    <t>hair milk</t>
  </si>
  <si>
    <t>aqualabel น้ำเงิน</t>
  </si>
  <si>
    <t>cardigan</t>
  </si>
  <si>
    <t>แผ่นแปะ 80</t>
  </si>
  <si>
    <t>jelly หมี</t>
  </si>
  <si>
    <t>vitamin 30</t>
  </si>
  <si>
    <t>ถั่วแระ</t>
  </si>
  <si>
    <t>cheese แท่ง</t>
  </si>
  <si>
    <t>ปลาหมึก</t>
  </si>
  <si>
    <t>ปลาหมึก smoke</t>
  </si>
  <si>
    <t>calbee sourcream</t>
  </si>
  <si>
    <t>popcorn choc</t>
  </si>
  <si>
    <t>jagabee green</t>
  </si>
  <si>
    <t>ขนมข้าวอบกรอบเล็ก</t>
  </si>
  <si>
    <t>ขนมข้าวอบกรอบใหญ่</t>
  </si>
  <si>
    <t>บ๊วยน้ำผึ้ง fam</t>
  </si>
  <si>
    <t>pim</t>
  </si>
  <si>
    <t>แปรงดำ</t>
  </si>
  <si>
    <t>ฟองน้ำ rosy roza</t>
  </si>
  <si>
    <t>ดัดขนตา</t>
  </si>
  <si>
    <t>by365</t>
  </si>
  <si>
    <t>tsururi</t>
  </si>
  <si>
    <t>&amp;honey</t>
  </si>
  <si>
    <t>พี่แนน</t>
  </si>
  <si>
    <t>baked</t>
  </si>
  <si>
    <t>gu นอนเด็ก</t>
  </si>
  <si>
    <t>เช็ดแว่น</t>
  </si>
  <si>
    <t>black thunder ดำ</t>
  </si>
  <si>
    <t>konomi</t>
  </si>
  <si>
    <t>ตา cx01</t>
  </si>
  <si>
    <t>apagard</t>
  </si>
  <si>
    <t>อาหารเด็ก</t>
  </si>
  <si>
    <t>เยลลี่วิตามิน</t>
  </si>
  <si>
    <t>พี่สกี</t>
  </si>
  <si>
    <t>jagabee ส้ม</t>
  </si>
  <si>
    <t>jagabee เขียว</t>
  </si>
  <si>
    <t>calbee แดง</t>
  </si>
  <si>
    <t>calbee wasabi</t>
  </si>
  <si>
    <t>MP</t>
  </si>
  <si>
    <t>ม่อนชิ bow</t>
  </si>
  <si>
    <t>kitty tan</t>
  </si>
  <si>
    <t>quality gold</t>
  </si>
  <si>
    <t>ค่าส่ง</t>
  </si>
  <si>
    <t>item</t>
  </si>
  <si>
    <t>amount</t>
  </si>
  <si>
    <t>price</t>
  </si>
  <si>
    <t>total</t>
  </si>
  <si>
    <t>ผ้าเช็ดตัว mofusan</t>
  </si>
  <si>
    <t>ช้อนส้อม</t>
  </si>
  <si>
    <t>ผ้าเช็ดหน้า</t>
  </si>
  <si>
    <t>ผ้าเช็ดผม</t>
  </si>
  <si>
    <t>ตุ๊กตา mofu ดำ</t>
  </si>
  <si>
    <t>ตุ๊กตา mofu ขวด</t>
  </si>
  <si>
    <t>ตุ๊กตา mofu เหลือง</t>
  </si>
  <si>
    <t>ตุ๊กตา mofu ฉลาม</t>
  </si>
  <si>
    <t>พวงกุญแจ mofu ฟ้า</t>
  </si>
  <si>
    <t>พวงกุญแจ mofu ฉลาม</t>
  </si>
  <si>
    <t>พวงกุญแจ mofu เหลือง</t>
  </si>
  <si>
    <t>พวงกุญแจ mofu เหลือง ดึงได้</t>
  </si>
  <si>
    <t>พวงกุญแจ mofu ขนมปัง</t>
  </si>
  <si>
    <t>พวงกุญแจ mofu ฉลาม ดึงได้</t>
  </si>
  <si>
    <t>ตุ๊กตา mofu cake</t>
  </si>
  <si>
    <t>ตุ๊กตา mofu strawberry</t>
  </si>
  <si>
    <t>Total</t>
  </si>
  <si>
    <t>รูป</t>
  </si>
  <si>
    <t>จำนวนรวม</t>
  </si>
  <si>
    <t>ราคา (บาท)</t>
  </si>
  <si>
    <t>ซื้อไปแล้วเท่าไหร่</t>
  </si>
  <si>
    <t>เหลือ</t>
  </si>
  <si>
    <t>Checklist</t>
  </si>
  <si>
    <t>ชื่อลูกค้า</t>
  </si>
  <si>
    <t>รวมยอด</t>
  </si>
  <si>
    <t>รวมทั้งหมด</t>
  </si>
  <si>
    <t>โอน</t>
  </si>
  <si>
    <t>หมายเหตุ</t>
  </si>
  <si>
    <t>ที่อยู่จัดส่ง</t>
  </si>
  <si>
    <t>รวมเงินได้</t>
  </si>
  <si>
    <t>ยังไม่โอน</t>
  </si>
  <si>
    <t>โอนแล้ว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</si>
</sst>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1.0"/>
      <color theme="1"/>
      <name val="Mali"/>
    </font>
    <font>
      <sz val="11.0"/>
      <color theme="1"/>
      <name val="Mali"/>
    </font>
    <font>
      <color theme="1"/>
      <name val="Mali"/>
    </font>
    <font/>
    <font>
      <color theme="1"/>
      <name val="Arial"/>
      <scheme val="minor"/>
    </font>
    <font>
      <b/>
      <color theme="1"/>
      <name val="Arial"/>
    </font>
    <font>
      <b/>
      <sz val="11.0"/>
      <color rgb="FF000000"/>
      <name val="Mali"/>
    </font>
    <font>
      <color theme="1"/>
      <name val="Arial"/>
    </font>
    <font>
      <color rgb="FF000000"/>
      <name val="Arial"/>
    </font>
    <font>
      <color rgb="FF000000"/>
      <name val="Arial"/>
      <scheme val="minor"/>
    </font>
    <font>
      <b/>
      <color theme="1"/>
      <name val="Mali"/>
    </font>
    <font>
      <b/>
      <color rgb="FFFFFFFF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EA9999"/>
        <bgColor rgb="FFEA9999"/>
      </patternFill>
    </fill>
    <fill>
      <patternFill patternType="solid">
        <fgColor rgb="FF1155CC"/>
        <bgColor rgb="FF1155CC"/>
      </patternFill>
    </fill>
    <fill>
      <patternFill patternType="solid">
        <fgColor rgb="FF00FF00"/>
        <bgColor rgb="FF00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left" readingOrder="0" shrinkToFit="0" wrapText="1"/>
    </xf>
    <xf borderId="0" fillId="0" fontId="2" numFmtId="0" xfId="0" applyAlignment="1" applyFont="1">
      <alignment horizontal="center" readingOrder="0"/>
    </xf>
    <xf borderId="1" fillId="0" fontId="2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center" readingOrder="0" shrinkToFit="0" vertical="bottom" wrapText="1"/>
    </xf>
    <xf borderId="1" fillId="3" fontId="2" numFmtId="0" xfId="0" applyAlignment="1" applyBorder="1" applyFill="1" applyFont="1">
      <alignment horizontal="center" readingOrder="0"/>
    </xf>
    <xf borderId="1" fillId="3" fontId="2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/>
    </xf>
    <xf borderId="0" fillId="0" fontId="2" numFmtId="0" xfId="0" applyAlignment="1" applyFont="1">
      <alignment vertical="bottom"/>
    </xf>
    <xf borderId="1" fillId="3" fontId="2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1" fillId="0" fontId="2" numFmtId="0" xfId="0" applyAlignment="1" applyBorder="1" applyFont="1">
      <alignment readingOrder="0"/>
    </xf>
    <xf borderId="1" fillId="4" fontId="1" numFmtId="0" xfId="0" applyAlignment="1" applyBorder="1" applyFill="1" applyFont="1">
      <alignment horizontal="center" readingOrder="0" shrinkToFit="0" wrapText="1"/>
    </xf>
    <xf borderId="1" fillId="4" fontId="1" numFmtId="0" xfId="0" applyAlignment="1" applyBorder="1" applyFont="1">
      <alignment horizontal="center" readingOrder="0" shrinkToFit="0" vertical="bottom" wrapText="1"/>
    </xf>
    <xf borderId="1" fillId="4" fontId="1" numFmtId="0" xfId="0" applyAlignment="1" applyBorder="1" applyFont="1">
      <alignment horizontal="center" readingOrder="0" vertical="bottom"/>
    </xf>
    <xf borderId="1" fillId="0" fontId="3" numFmtId="0" xfId="0" applyBorder="1" applyFont="1"/>
    <xf borderId="2" fillId="5" fontId="3" numFmtId="0" xfId="0" applyAlignment="1" applyBorder="1" applyFill="1" applyFont="1">
      <alignment horizontal="center" readingOrder="0"/>
    </xf>
    <xf borderId="3" fillId="0" fontId="4" numFmtId="0" xfId="0" applyBorder="1" applyFont="1"/>
    <xf borderId="4" fillId="0" fontId="4" numFmtId="0" xfId="0" applyBorder="1" applyFont="1"/>
    <xf borderId="1" fillId="5" fontId="3" numFmtId="0" xfId="0" applyBorder="1" applyFont="1"/>
    <xf borderId="1" fillId="0" fontId="5" numFmtId="0" xfId="0" applyBorder="1" applyFont="1"/>
    <xf borderId="1" fillId="0" fontId="5" numFmtId="0" xfId="0" applyAlignment="1" applyBorder="1" applyFont="1">
      <alignment horizontal="center"/>
    </xf>
    <xf borderId="1" fillId="0" fontId="6" numFmtId="0" xfId="0" applyAlignment="1" applyBorder="1" applyFont="1">
      <alignment horizontal="center"/>
    </xf>
    <xf borderId="1" fillId="0" fontId="6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shrinkToFit="0" wrapText="1"/>
    </xf>
    <xf borderId="1" fillId="6" fontId="6" numFmtId="0" xfId="0" applyAlignment="1" applyBorder="1" applyFill="1" applyFont="1">
      <alignment horizontal="center"/>
    </xf>
    <xf borderId="1" fillId="7" fontId="7" numFmtId="0" xfId="0" applyAlignment="1" applyBorder="1" applyFill="1" applyFont="1">
      <alignment horizontal="center" readingOrder="0"/>
    </xf>
    <xf borderId="1" fillId="8" fontId="8" numFmtId="0" xfId="0" applyBorder="1" applyFill="1" applyFont="1"/>
    <xf borderId="1" fillId="0" fontId="2" numFmtId="0" xfId="0" applyAlignment="1" applyBorder="1" applyFont="1">
      <alignment horizontal="center" shrinkToFit="0" vertical="top" wrapText="1"/>
    </xf>
    <xf borderId="1" fillId="3" fontId="8" numFmtId="0" xfId="0" applyAlignment="1" applyBorder="1" applyFont="1">
      <alignment horizontal="center"/>
    </xf>
    <xf borderId="1" fillId="3" fontId="8" numFmtId="0" xfId="0" applyAlignment="1" applyBorder="1" applyFont="1">
      <alignment horizontal="center" readingOrder="0"/>
    </xf>
    <xf borderId="1" fillId="3" fontId="8" numFmtId="0" xfId="0" applyAlignment="1" applyBorder="1" applyFont="1">
      <alignment readingOrder="0"/>
    </xf>
    <xf borderId="1" fillId="3" fontId="2" numFmtId="0" xfId="0" applyAlignment="1" applyBorder="1" applyFont="1">
      <alignment horizontal="center" readingOrder="0" vertical="bottom"/>
    </xf>
    <xf borderId="1" fillId="9" fontId="8" numFmtId="0" xfId="0" applyBorder="1" applyFill="1" applyFont="1"/>
    <xf borderId="1" fillId="7" fontId="8" numFmtId="0" xfId="0" applyBorder="1" applyFont="1"/>
    <xf borderId="1" fillId="6" fontId="8" numFmtId="0" xfId="0" applyBorder="1" applyFont="1"/>
    <xf borderId="1" fillId="10" fontId="8" numFmtId="0" xfId="0" applyBorder="1" applyFill="1" applyFont="1"/>
    <xf borderId="1" fillId="11" fontId="8" numFmtId="0" xfId="0" applyBorder="1" applyFill="1" applyFont="1"/>
    <xf borderId="1" fillId="3" fontId="8" numFmtId="0" xfId="0" applyBorder="1" applyFont="1"/>
    <xf borderId="1" fillId="11" fontId="9" numFmtId="0" xfId="0" applyBorder="1" applyFont="1"/>
    <xf borderId="1" fillId="10" fontId="9" numFmtId="0" xfId="0" applyBorder="1" applyFont="1"/>
    <xf borderId="1" fillId="7" fontId="9" numFmtId="0" xfId="0" applyBorder="1" applyFont="1"/>
    <xf borderId="0" fillId="6" fontId="10" numFmtId="0" xfId="0" applyFont="1"/>
    <xf borderId="0" fillId="0" fontId="5" numFmtId="0" xfId="0" applyAlignment="1" applyFont="1">
      <alignment horizontal="center" readingOrder="0"/>
    </xf>
    <xf borderId="5" fillId="3" fontId="8" numFmtId="0" xfId="0" applyAlignment="1" applyBorder="1" applyFont="1">
      <alignment readingOrder="0"/>
    </xf>
    <xf borderId="1" fillId="4" fontId="8" numFmtId="0" xfId="0" applyBorder="1" applyFont="1"/>
    <xf borderId="1" fillId="6" fontId="5" numFmtId="0" xfId="0" applyBorder="1" applyFont="1"/>
    <xf borderId="1" fillId="0" fontId="8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/>
    </xf>
    <xf borderId="1" fillId="10" fontId="5" numFmtId="0" xfId="0" applyBorder="1" applyFont="1"/>
    <xf borderId="1" fillId="4" fontId="5" numFmtId="0" xfId="0" applyBorder="1" applyFont="1"/>
    <xf borderId="0" fillId="4" fontId="5" numFmtId="0" xfId="0" applyFont="1"/>
    <xf borderId="1" fillId="8" fontId="5" numFmtId="0" xfId="0" applyBorder="1" applyFont="1"/>
    <xf borderId="0" fillId="11" fontId="5" numFmtId="0" xfId="0" applyFont="1"/>
    <xf borderId="1" fillId="3" fontId="2" numFmtId="0" xfId="0" applyAlignment="1" applyBorder="1" applyFont="1">
      <alignment horizontal="center" vertical="bottom"/>
    </xf>
    <xf borderId="1" fillId="3" fontId="5" numFmtId="0" xfId="0" applyAlignment="1" applyBorder="1" applyFont="1">
      <alignment readingOrder="0"/>
    </xf>
    <xf borderId="1" fillId="11" fontId="5" numFmtId="0" xfId="0" applyBorder="1" applyFont="1"/>
    <xf borderId="1" fillId="9" fontId="5" numFmtId="0" xfId="0" applyBorder="1" applyFont="1"/>
    <xf borderId="1" fillId="2" fontId="5" numFmtId="0" xfId="0" applyBorder="1" applyFont="1"/>
    <xf borderId="6" fillId="9" fontId="5" numFmtId="0" xfId="0" applyBorder="1" applyFont="1"/>
    <xf borderId="7" fillId="0" fontId="5" numFmtId="0" xfId="0" applyBorder="1" applyFont="1"/>
    <xf borderId="7" fillId="0" fontId="8" numFmtId="0" xfId="0" applyAlignment="1" applyBorder="1" applyFont="1">
      <alignment horizontal="center" readingOrder="0"/>
    </xf>
    <xf borderId="7" fillId="0" fontId="5" numFmtId="0" xfId="0" applyAlignment="1" applyBorder="1" applyFont="1">
      <alignment readingOrder="0"/>
    </xf>
    <xf borderId="4" fillId="9" fontId="5" numFmtId="0" xfId="0" applyBorder="1" applyFont="1"/>
    <xf borderId="4" fillId="0" fontId="5" numFmtId="0" xfId="0" applyBorder="1" applyFont="1"/>
    <xf borderId="4" fillId="11" fontId="5" numFmtId="0" xfId="0" applyBorder="1" applyFont="1"/>
    <xf borderId="1" fillId="3" fontId="5" numFmtId="0" xfId="0" applyBorder="1" applyFont="1"/>
    <xf borderId="1" fillId="0" fontId="8" numFmtId="0" xfId="0" applyAlignment="1" applyBorder="1" applyFont="1">
      <alignment horizontal="center"/>
    </xf>
    <xf borderId="1" fillId="3" fontId="8" numFmtId="0" xfId="0" applyAlignment="1" applyBorder="1" applyFont="1">
      <alignment vertical="bottom"/>
    </xf>
    <xf borderId="0" fillId="0" fontId="5" numFmtId="0" xfId="0" applyAlignment="1" applyFont="1">
      <alignment horizontal="center"/>
    </xf>
    <xf borderId="0" fillId="3" fontId="5" numFmtId="0" xfId="0" applyFont="1"/>
    <xf borderId="1" fillId="2" fontId="11" numFmtId="0" xfId="0" applyAlignment="1" applyBorder="1" applyFont="1">
      <alignment vertical="bottom"/>
    </xf>
    <xf borderId="1" fillId="2" fontId="11" numFmtId="0" xfId="0" applyBorder="1" applyFont="1"/>
    <xf borderId="0" fillId="0" fontId="8" numFmtId="3" xfId="0" applyFont="1" applyNumberFormat="1"/>
    <xf borderId="0" fillId="0" fontId="8" numFmtId="0" xfId="0" applyFont="1"/>
    <xf borderId="0" fillId="0" fontId="8" numFmtId="0" xfId="0" applyAlignment="1" applyFont="1">
      <alignment shrinkToFit="0" wrapText="1"/>
    </xf>
    <xf borderId="0" fillId="0" fontId="8" numFmtId="1" xfId="0" applyFont="1" applyNumberFormat="1"/>
    <xf borderId="1" fillId="12" fontId="3" numFmtId="0" xfId="0" applyAlignment="1" applyBorder="1" applyFill="1" applyFont="1">
      <alignment horizontal="center"/>
    </xf>
    <xf borderId="1" fillId="0" fontId="3" numFmtId="0" xfId="0" applyAlignment="1" applyBorder="1" applyFont="1">
      <alignment horizontal="center"/>
    </xf>
    <xf borderId="1" fillId="13" fontId="12" numFmtId="0" xfId="0" applyAlignment="1" applyBorder="1" applyFill="1" applyFont="1">
      <alignment horizontal="center"/>
    </xf>
    <xf borderId="1" fillId="13" fontId="12" numFmtId="3" xfId="0" applyAlignment="1" applyBorder="1" applyFont="1" applyNumberFormat="1">
      <alignment horizontal="center"/>
    </xf>
    <xf borderId="1" fillId="13" fontId="12" numFmtId="0" xfId="0" applyAlignment="1" applyBorder="1" applyFont="1">
      <alignment horizontal="center" vertical="bottom"/>
    </xf>
    <xf borderId="0" fillId="13" fontId="12" numFmtId="0" xfId="0" applyAlignment="1" applyFont="1">
      <alignment horizontal="center" shrinkToFit="0" wrapText="1"/>
    </xf>
    <xf borderId="0" fillId="14" fontId="6" numFmtId="0" xfId="0" applyFill="1" applyFont="1"/>
    <xf borderId="0" fillId="14" fontId="6" numFmtId="3" xfId="0" applyFont="1" applyNumberFormat="1"/>
    <xf borderId="0" fillId="5" fontId="8" numFmtId="1" xfId="0" applyFont="1" applyNumberFormat="1"/>
    <xf borderId="1" fillId="12" fontId="3" numFmtId="0" xfId="0" applyAlignment="1" applyBorder="1" applyFont="1">
      <alignment horizontal="center" readingOrder="0"/>
    </xf>
    <xf borderId="1" fillId="7" fontId="8" numFmtId="0" xfId="0" applyAlignment="1" applyBorder="1" applyFont="1">
      <alignment horizontal="center"/>
    </xf>
    <xf borderId="1" fillId="7" fontId="8" numFmtId="3" xfId="0" applyBorder="1" applyFont="1" applyNumberFormat="1"/>
    <xf borderId="1" fillId="0" fontId="8" numFmtId="0" xfId="0" applyAlignment="1" applyBorder="1" applyFont="1">
      <alignment readingOrder="0"/>
    </xf>
    <xf borderId="1" fillId="0" fontId="8" numFmtId="0" xfId="0" applyAlignment="1" applyBorder="1" applyFont="1">
      <alignment readingOrder="0" vertical="bottom"/>
    </xf>
    <xf borderId="1" fillId="0" fontId="8" numFmtId="0" xfId="0" applyBorder="1" applyFont="1"/>
    <xf borderId="1" fillId="0" fontId="8" numFmtId="0" xfId="0" applyAlignment="1" applyBorder="1" applyFont="1">
      <alignment readingOrder="0" shrinkToFit="0" wrapText="1"/>
    </xf>
    <xf borderId="1" fillId="0" fontId="8" numFmtId="0" xfId="0" applyAlignment="1" applyBorder="1" applyFont="1">
      <alignment shrinkToFit="0" wrapText="1"/>
    </xf>
    <xf borderId="1" fillId="7" fontId="8" numFmtId="3" xfId="0" applyAlignment="1" applyBorder="1" applyFont="1" applyNumberFormat="1">
      <alignment readingOrder="0"/>
    </xf>
    <xf borderId="0" fillId="7" fontId="8" numFmtId="0" xfId="0" applyAlignment="1" applyFont="1">
      <alignment horizontal="center"/>
    </xf>
    <xf borderId="1" fillId="8" fontId="8" numFmtId="0" xfId="0" applyAlignment="1" applyBorder="1" applyFont="1">
      <alignment readingOrder="0"/>
    </xf>
    <xf borderId="1" fillId="8" fontId="8" numFmtId="0" xfId="0" applyAlignment="1" applyBorder="1" applyFont="1">
      <alignment readingOrder="0" shrinkToFit="0" wrapText="1"/>
    </xf>
    <xf borderId="0" fillId="8" fontId="5" numFmtId="0" xfId="0" applyFont="1"/>
    <xf borderId="1" fillId="8" fontId="8" numFmtId="0" xfId="0" applyAlignment="1" applyBorder="1" applyFont="1">
      <alignment shrinkToFit="0" wrapText="1"/>
    </xf>
    <xf borderId="0" fillId="8" fontId="8" numFmtId="0" xfId="0" applyAlignment="1" applyFont="1">
      <alignment shrinkToFit="0" wrapText="1"/>
    </xf>
    <xf borderId="1" fillId="8" fontId="8" numFmtId="0" xfId="0" applyAlignment="1" applyBorder="1" applyFont="1">
      <alignment readingOrder="0" vertical="bottom"/>
    </xf>
    <xf borderId="0" fillId="0" fontId="8" numFmtId="0" xfId="0" applyAlignment="1" applyFont="1">
      <alignment vertical="bottom"/>
    </xf>
    <xf borderId="0" fillId="0" fontId="3" numFmtId="0" xfId="0" applyFont="1"/>
    <xf borderId="0" fillId="7" fontId="8" numFmtId="3" xfId="0" applyFont="1" applyNumberFormat="1"/>
    <xf borderId="0" fillId="7" fontId="8" numFmtId="0" xfId="0" applyFont="1"/>
    <xf borderId="0" fillId="0" fontId="8" numFmtId="0" xfId="0" applyAlignment="1" applyFont="1">
      <alignment vertical="bottom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13"/>
    <col customWidth="1" min="2" max="2" width="19.25"/>
    <col customWidth="1" min="3" max="3" width="31.0"/>
    <col customWidth="1" min="4" max="4" width="10.75"/>
    <col customWidth="1" min="5" max="5" width="17.88"/>
    <col customWidth="1" min="6" max="6" width="11.88"/>
    <col customWidth="1" min="7" max="7" width="20.25"/>
  </cols>
  <sheetData>
    <row r="1" ht="28.5" customHeight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/>
    </row>
    <row r="2" ht="30.0" customHeight="1">
      <c r="A2" s="4">
        <v>1.0</v>
      </c>
      <c r="B2" s="5" t="s">
        <v>6</v>
      </c>
      <c r="C2" s="6" t="s">
        <v>7</v>
      </c>
      <c r="D2" s="7">
        <v>0.0</v>
      </c>
      <c r="E2" s="8">
        <f>if(C2&lt;&gt;"", VLOOKUP(C2,' สรุปยอด 2'!A:D,4,0),0)</f>
        <v>5690</v>
      </c>
      <c r="F2" s="9">
        <f t="shared" ref="F2:F214" si="1">E2*D2</f>
        <v>0</v>
      </c>
      <c r="G2" s="9"/>
    </row>
    <row r="3" ht="30.0" customHeight="1">
      <c r="A3" s="4">
        <v>2.0</v>
      </c>
      <c r="B3" s="5" t="s">
        <v>8</v>
      </c>
      <c r="C3" s="6" t="s">
        <v>9</v>
      </c>
      <c r="D3" s="10">
        <v>1.0</v>
      </c>
      <c r="E3" s="8">
        <f>if(C3&lt;&gt;"", VLOOKUP(C3,' สรุปยอด 2'!A:D,4,0),0)</f>
        <v>219</v>
      </c>
      <c r="F3" s="9">
        <f t="shared" si="1"/>
        <v>219</v>
      </c>
      <c r="G3" s="9"/>
    </row>
    <row r="4" ht="18.75" customHeight="1">
      <c r="A4" s="4">
        <v>3.0</v>
      </c>
      <c r="B4" s="5" t="s">
        <v>8</v>
      </c>
      <c r="C4" s="6" t="s">
        <v>10</v>
      </c>
      <c r="D4" s="7">
        <v>1.0</v>
      </c>
      <c r="E4" s="8">
        <f>if(C4&lt;&gt;"", VLOOKUP(C4,' สรุปยอด 2'!A:D,4,0),0)</f>
        <v>175</v>
      </c>
      <c r="F4" s="9">
        <f t="shared" si="1"/>
        <v>175</v>
      </c>
      <c r="G4" s="9"/>
    </row>
    <row r="5" ht="26.25" customHeight="1">
      <c r="A5" s="4">
        <v>4.0</v>
      </c>
      <c r="B5" s="5" t="s">
        <v>11</v>
      </c>
      <c r="C5" s="6" t="s">
        <v>12</v>
      </c>
      <c r="D5" s="10">
        <v>1.0</v>
      </c>
      <c r="E5" s="8">
        <f>if(C5&lt;&gt;"", VLOOKUP(C5,' สรุปยอด 2'!A:D,4,0),0)</f>
        <v>275</v>
      </c>
      <c r="F5" s="9">
        <f t="shared" si="1"/>
        <v>275</v>
      </c>
      <c r="G5" s="9"/>
    </row>
    <row r="6" ht="22.5" customHeight="1">
      <c r="A6" s="4">
        <v>5.0</v>
      </c>
      <c r="B6" s="5" t="s">
        <v>13</v>
      </c>
      <c r="C6" s="6" t="s">
        <v>14</v>
      </c>
      <c r="D6" s="7">
        <v>1.0</v>
      </c>
      <c r="E6" s="8">
        <f>if(C6&lt;&gt;"", VLOOKUP(C6,' สรุปยอด 2'!A:D,4,0),0)</f>
        <v>7490</v>
      </c>
      <c r="F6" s="9">
        <f t="shared" si="1"/>
        <v>7490</v>
      </c>
      <c r="G6" s="9"/>
    </row>
    <row r="7" ht="26.25" customHeight="1">
      <c r="A7" s="4">
        <v>6.0</v>
      </c>
      <c r="B7" s="5" t="s">
        <v>15</v>
      </c>
      <c r="C7" s="6" t="s">
        <v>16</v>
      </c>
      <c r="D7" s="10">
        <v>1.0</v>
      </c>
      <c r="E7" s="8">
        <f>if(C7&lt;&gt;"", VLOOKUP(C7,' สรุปยอด 2'!A:D,4,0),0)</f>
        <v>259</v>
      </c>
      <c r="F7" s="9">
        <f t="shared" si="1"/>
        <v>259</v>
      </c>
      <c r="G7" s="9"/>
    </row>
    <row r="8" ht="24.75" customHeight="1">
      <c r="A8" s="4">
        <v>7.0</v>
      </c>
      <c r="B8" s="5" t="s">
        <v>17</v>
      </c>
      <c r="C8" s="6" t="s">
        <v>12</v>
      </c>
      <c r="D8" s="7">
        <v>1.0</v>
      </c>
      <c r="E8" s="8">
        <f>if(C8&lt;&gt;"", VLOOKUP(C8,' สรุปยอด 2'!A:D,4,0),0)</f>
        <v>275</v>
      </c>
      <c r="F8" s="9">
        <f t="shared" si="1"/>
        <v>275</v>
      </c>
      <c r="G8" s="9"/>
    </row>
    <row r="9" ht="21.0" customHeight="1">
      <c r="A9" s="4">
        <v>8.0</v>
      </c>
      <c r="B9" s="5" t="s">
        <v>18</v>
      </c>
      <c r="C9" s="6" t="s">
        <v>19</v>
      </c>
      <c r="D9" s="10">
        <v>2.0</v>
      </c>
      <c r="E9" s="8">
        <f>if(C9&lt;&gt;"", VLOOKUP(C9,' สรุปยอด 2'!A:D,4,0),0)</f>
        <v>199</v>
      </c>
      <c r="F9" s="9">
        <f t="shared" si="1"/>
        <v>398</v>
      </c>
      <c r="G9" s="9"/>
    </row>
    <row r="10" ht="23.25" customHeight="1">
      <c r="A10" s="4">
        <v>9.0</v>
      </c>
      <c r="B10" s="5" t="s">
        <v>18</v>
      </c>
      <c r="C10" s="6" t="s">
        <v>20</v>
      </c>
      <c r="D10" s="7">
        <v>1.0</v>
      </c>
      <c r="E10" s="8">
        <f>if(C10&lt;&gt;"", VLOOKUP(C10,' สรุปยอด 2'!A:D,4,0),0)</f>
        <v>195</v>
      </c>
      <c r="F10" s="9">
        <f t="shared" si="1"/>
        <v>195</v>
      </c>
      <c r="G10" s="9"/>
    </row>
    <row r="11" ht="20.25" customHeight="1">
      <c r="A11" s="4">
        <v>10.0</v>
      </c>
      <c r="B11" s="5" t="s">
        <v>18</v>
      </c>
      <c r="C11" s="6" t="s">
        <v>21</v>
      </c>
      <c r="D11" s="10">
        <v>4.0</v>
      </c>
      <c r="E11" s="8">
        <f>if(C11&lt;&gt;"", VLOOKUP(C11,' สรุปยอด 2'!A:D,4,0),0)</f>
        <v>85</v>
      </c>
      <c r="F11" s="9">
        <f t="shared" si="1"/>
        <v>340</v>
      </c>
      <c r="G11" s="9"/>
    </row>
    <row r="12" ht="18.0" customHeight="1">
      <c r="A12" s="4">
        <v>11.0</v>
      </c>
      <c r="B12" s="5" t="s">
        <v>18</v>
      </c>
      <c r="C12" s="6" t="s">
        <v>22</v>
      </c>
      <c r="D12" s="5">
        <v>2.0</v>
      </c>
      <c r="E12" s="8">
        <f>if(C12&lt;&gt;"", VLOOKUP(C12,' สรุปยอด 2'!A:D,4,0),0)</f>
        <v>65</v>
      </c>
      <c r="F12" s="9">
        <f t="shared" si="1"/>
        <v>130</v>
      </c>
      <c r="G12" s="9"/>
    </row>
    <row r="13" ht="18.75" customHeight="1">
      <c r="A13" s="4">
        <v>12.0</v>
      </c>
      <c r="B13" s="5" t="s">
        <v>23</v>
      </c>
      <c r="C13" s="6" t="s">
        <v>21</v>
      </c>
      <c r="D13" s="5">
        <v>3.0</v>
      </c>
      <c r="E13" s="8">
        <f>if(C13&lt;&gt;"", VLOOKUP(C13,' สรุปยอด 2'!A:D,4,0),0)</f>
        <v>85</v>
      </c>
      <c r="F13" s="9">
        <f t="shared" si="1"/>
        <v>255</v>
      </c>
      <c r="G13" s="9"/>
    </row>
    <row r="14" ht="34.5" customHeight="1">
      <c r="A14" s="4">
        <v>13.0</v>
      </c>
      <c r="B14" s="5" t="s">
        <v>24</v>
      </c>
      <c r="C14" s="6" t="s">
        <v>25</v>
      </c>
      <c r="D14" s="7">
        <v>0.0</v>
      </c>
      <c r="E14" s="8">
        <f>if(C14&lt;&gt;"", VLOOKUP(C14,' สรุปยอด 2'!A:D,4,0),0)</f>
        <v>2190</v>
      </c>
      <c r="F14" s="9">
        <f t="shared" si="1"/>
        <v>0</v>
      </c>
      <c r="G14" s="9"/>
    </row>
    <row r="15" ht="19.5" customHeight="1">
      <c r="A15" s="4">
        <v>14.0</v>
      </c>
      <c r="B15" s="5" t="s">
        <v>24</v>
      </c>
      <c r="C15" s="6" t="s">
        <v>9</v>
      </c>
      <c r="D15" s="10">
        <v>1.0</v>
      </c>
      <c r="E15" s="8">
        <f>if(C15&lt;&gt;"", VLOOKUP(C15,' สรุปยอด 2'!A:D,4,0),0)</f>
        <v>219</v>
      </c>
      <c r="F15" s="9">
        <f t="shared" si="1"/>
        <v>219</v>
      </c>
      <c r="G15" s="9"/>
    </row>
    <row r="16" ht="36.75" customHeight="1">
      <c r="A16" s="4">
        <v>15.0</v>
      </c>
      <c r="B16" s="5" t="s">
        <v>26</v>
      </c>
      <c r="C16" s="6" t="s">
        <v>27</v>
      </c>
      <c r="D16" s="7">
        <v>0.0</v>
      </c>
      <c r="E16" s="8">
        <f>if(C16&lt;&gt;"", VLOOKUP(C16,' สรุปยอด 2'!A:D,4,0),0)</f>
        <v>1150</v>
      </c>
      <c r="F16" s="9">
        <f t="shared" si="1"/>
        <v>0</v>
      </c>
      <c r="G16" s="9"/>
    </row>
    <row r="17" ht="30.0" customHeight="1">
      <c r="A17" s="4">
        <v>16.0</v>
      </c>
      <c r="B17" s="5" t="s">
        <v>28</v>
      </c>
      <c r="C17" s="6" t="s">
        <v>20</v>
      </c>
      <c r="D17" s="10">
        <v>1.0</v>
      </c>
      <c r="E17" s="8">
        <f>if(C17&lt;&gt;"", VLOOKUP(C17,' สรุปยอด 2'!A:D,4,0),0)</f>
        <v>195</v>
      </c>
      <c r="F17" s="9">
        <f t="shared" si="1"/>
        <v>195</v>
      </c>
      <c r="G17" s="9"/>
    </row>
    <row r="18" ht="21.75" customHeight="1">
      <c r="A18" s="4">
        <v>17.0</v>
      </c>
      <c r="B18" s="5" t="s">
        <v>28</v>
      </c>
      <c r="C18" s="6" t="s">
        <v>29</v>
      </c>
      <c r="D18" s="7">
        <v>1.0</v>
      </c>
      <c r="E18" s="8">
        <f>if(C18&lt;&gt;"", VLOOKUP(C18,' สรุปยอด 2'!A:D,4,0),0)</f>
        <v>195</v>
      </c>
      <c r="F18" s="9">
        <f t="shared" si="1"/>
        <v>195</v>
      </c>
      <c r="G18" s="9"/>
    </row>
    <row r="19" ht="20.25" customHeight="1">
      <c r="A19" s="4">
        <v>18.0</v>
      </c>
      <c r="B19" s="11" t="s">
        <v>30</v>
      </c>
      <c r="C19" s="12" t="s">
        <v>31</v>
      </c>
      <c r="D19" s="10">
        <v>30.0</v>
      </c>
      <c r="E19" s="8">
        <f>if(C19&lt;&gt;"", VLOOKUP(C19,' สรุปยอด 2'!A:D,4,0),0)</f>
        <v>49</v>
      </c>
      <c r="F19" s="9">
        <f t="shared" si="1"/>
        <v>1470</v>
      </c>
      <c r="G19" s="9"/>
    </row>
    <row r="20" ht="24.0" customHeight="1">
      <c r="A20" s="4">
        <v>19.0</v>
      </c>
      <c r="B20" s="11" t="s">
        <v>30</v>
      </c>
      <c r="C20" s="12" t="s">
        <v>32</v>
      </c>
      <c r="D20" s="7">
        <v>3.0</v>
      </c>
      <c r="E20" s="8">
        <f>if(C20&lt;&gt;"", VLOOKUP(C20,' สรุปยอด 2'!A:D,4,0),0)</f>
        <v>159</v>
      </c>
      <c r="F20" s="9">
        <f t="shared" si="1"/>
        <v>477</v>
      </c>
      <c r="G20" s="9"/>
    </row>
    <row r="21" ht="18.75" customHeight="1">
      <c r="A21" s="4">
        <v>20.0</v>
      </c>
      <c r="B21" s="11" t="s">
        <v>30</v>
      </c>
      <c r="C21" s="12" t="s">
        <v>33</v>
      </c>
      <c r="D21" s="10">
        <v>3.0</v>
      </c>
      <c r="E21" s="10">
        <v>499.0</v>
      </c>
      <c r="F21" s="9">
        <f t="shared" si="1"/>
        <v>1497</v>
      </c>
      <c r="G21" s="9"/>
    </row>
    <row r="22" ht="17.25" customHeight="1">
      <c r="A22" s="4">
        <v>21.0</v>
      </c>
      <c r="B22" s="11" t="s">
        <v>30</v>
      </c>
      <c r="C22" s="12" t="s">
        <v>34</v>
      </c>
      <c r="D22" s="7">
        <v>2.0</v>
      </c>
      <c r="E22" s="8">
        <f>if(C22&lt;&gt;"", VLOOKUP(C22,' สรุปยอด 2'!A:D,4,0),0)</f>
        <v>339</v>
      </c>
      <c r="F22" s="9">
        <f t="shared" si="1"/>
        <v>678</v>
      </c>
      <c r="G22" s="9"/>
    </row>
    <row r="23">
      <c r="A23" s="4">
        <v>23.0</v>
      </c>
      <c r="B23" s="11" t="s">
        <v>30</v>
      </c>
      <c r="C23" s="12" t="s">
        <v>35</v>
      </c>
      <c r="D23" s="10">
        <v>1.0</v>
      </c>
      <c r="E23" s="10">
        <v>299.0</v>
      </c>
      <c r="F23" s="9">
        <f t="shared" si="1"/>
        <v>299</v>
      </c>
      <c r="G23" s="9"/>
    </row>
    <row r="24">
      <c r="A24" s="4">
        <v>24.0</v>
      </c>
      <c r="B24" s="11" t="s">
        <v>30</v>
      </c>
      <c r="C24" s="12" t="s">
        <v>12</v>
      </c>
      <c r="D24" s="10">
        <v>3.0</v>
      </c>
      <c r="E24" s="8">
        <f>if(C24&lt;&gt;"", VLOOKUP(C24,' สรุปยอด 2'!A:D,4,0),0)</f>
        <v>275</v>
      </c>
      <c r="F24" s="9">
        <f t="shared" si="1"/>
        <v>825</v>
      </c>
      <c r="G24" s="9"/>
    </row>
    <row r="25">
      <c r="A25" s="4">
        <v>25.0</v>
      </c>
      <c r="B25" s="11" t="s">
        <v>30</v>
      </c>
      <c r="C25" s="12" t="s">
        <v>36</v>
      </c>
      <c r="D25" s="10">
        <v>1.0</v>
      </c>
      <c r="E25" s="8">
        <f>if(C25&lt;&gt;"", VLOOKUP(C25,' สรุปยอด 2'!A:D,4,0),0)</f>
        <v>275</v>
      </c>
      <c r="F25" s="9">
        <f t="shared" si="1"/>
        <v>275</v>
      </c>
      <c r="G25" s="9"/>
    </row>
    <row r="26">
      <c r="A26" s="4">
        <v>26.0</v>
      </c>
      <c r="B26" s="5" t="s">
        <v>37</v>
      </c>
      <c r="C26" s="6" t="s">
        <v>38</v>
      </c>
      <c r="D26" s="7">
        <v>1.0</v>
      </c>
      <c r="E26" s="8">
        <f>if(C26&lt;&gt;"", VLOOKUP(C26,' สรุปยอด 2'!A:D,4,0),0)</f>
        <v>305</v>
      </c>
      <c r="F26" s="9">
        <f t="shared" si="1"/>
        <v>305</v>
      </c>
      <c r="G26" s="9"/>
    </row>
    <row r="27">
      <c r="A27" s="4">
        <v>27.0</v>
      </c>
      <c r="B27" s="5" t="s">
        <v>39</v>
      </c>
      <c r="C27" s="6" t="s">
        <v>40</v>
      </c>
      <c r="D27" s="10">
        <v>2.0</v>
      </c>
      <c r="E27" s="8">
        <f>if(C27&lt;&gt;"", VLOOKUP(C27,' สรุปยอด 2'!A:D,4,0),0)</f>
        <v>239</v>
      </c>
      <c r="F27" s="9">
        <f t="shared" si="1"/>
        <v>478</v>
      </c>
      <c r="G27" s="9"/>
    </row>
    <row r="28">
      <c r="A28" s="4">
        <v>28.0</v>
      </c>
      <c r="B28" s="5" t="s">
        <v>39</v>
      </c>
      <c r="C28" s="6" t="s">
        <v>41</v>
      </c>
      <c r="D28" s="10">
        <v>2.0</v>
      </c>
      <c r="E28" s="8">
        <f>if(C28&lt;&gt;"", VLOOKUP(C28,' สรุปยอด 2'!A:D,4,0),0)</f>
        <v>179</v>
      </c>
      <c r="F28" s="9">
        <f t="shared" si="1"/>
        <v>358</v>
      </c>
      <c r="G28" s="9"/>
    </row>
    <row r="29">
      <c r="A29" s="4">
        <v>29.0</v>
      </c>
      <c r="B29" s="5" t="s">
        <v>39</v>
      </c>
      <c r="C29" s="13" t="s">
        <v>42</v>
      </c>
      <c r="D29" s="10">
        <v>1.0</v>
      </c>
      <c r="E29" s="8">
        <f>if(C29&lt;&gt;"", VLOOKUP(C29,' สรุปยอด 2'!A:D,4,0),0)</f>
        <v>190</v>
      </c>
      <c r="F29" s="9">
        <f t="shared" si="1"/>
        <v>190</v>
      </c>
      <c r="G29" s="9"/>
    </row>
    <row r="30">
      <c r="A30" s="4">
        <v>30.0</v>
      </c>
      <c r="B30" s="5" t="s">
        <v>26</v>
      </c>
      <c r="C30" s="13" t="s">
        <v>43</v>
      </c>
      <c r="D30" s="14">
        <v>1.0</v>
      </c>
      <c r="E30" s="8">
        <f>if(C30&lt;&gt;"", VLOOKUP(C30,' สรุปยอด 2'!A:D,4,0),0)</f>
        <v>179</v>
      </c>
      <c r="F30" s="9">
        <f t="shared" si="1"/>
        <v>179</v>
      </c>
      <c r="G30" s="9"/>
    </row>
    <row r="31">
      <c r="A31" s="4">
        <v>31.0</v>
      </c>
      <c r="B31" s="5" t="s">
        <v>44</v>
      </c>
      <c r="C31" s="6" t="s">
        <v>45</v>
      </c>
      <c r="D31" s="14">
        <v>1.0</v>
      </c>
      <c r="E31" s="8">
        <f>if(C31&lt;&gt;"", VLOOKUP(C31,' สรุปยอด 2'!A:D,4,0),0)</f>
        <v>849</v>
      </c>
      <c r="F31" s="9">
        <f t="shared" si="1"/>
        <v>849</v>
      </c>
      <c r="G31" s="9"/>
    </row>
    <row r="32">
      <c r="A32" s="4">
        <v>32.0</v>
      </c>
      <c r="B32" s="5" t="s">
        <v>44</v>
      </c>
      <c r="C32" s="6" t="s">
        <v>46</v>
      </c>
      <c r="D32" s="14">
        <v>1.0</v>
      </c>
      <c r="E32" s="8">
        <f>if(C32&lt;&gt;"", VLOOKUP(C32,' สรุปยอด 2'!A:D,4,0),0)</f>
        <v>429</v>
      </c>
      <c r="F32" s="9">
        <f t="shared" si="1"/>
        <v>429</v>
      </c>
      <c r="G32" s="9"/>
    </row>
    <row r="33">
      <c r="A33" s="4">
        <v>33.0</v>
      </c>
      <c r="B33" s="5" t="s">
        <v>44</v>
      </c>
      <c r="C33" s="6" t="s">
        <v>47</v>
      </c>
      <c r="D33" s="14">
        <v>1.0</v>
      </c>
      <c r="E33" s="8">
        <f>if(C33&lt;&gt;"", VLOOKUP(C33,' สรุปยอด 2'!A:D,4,0),0)</f>
        <v>849</v>
      </c>
      <c r="F33" s="9">
        <f t="shared" si="1"/>
        <v>849</v>
      </c>
      <c r="G33" s="9"/>
    </row>
    <row r="34">
      <c r="A34" s="4">
        <v>34.0</v>
      </c>
      <c r="B34" s="5" t="s">
        <v>44</v>
      </c>
      <c r="C34" s="6" t="s">
        <v>48</v>
      </c>
      <c r="D34" s="14">
        <v>1.0</v>
      </c>
      <c r="E34" s="8">
        <f>if(C34&lt;&gt;"", VLOOKUP(C34,' สรุปยอด 2'!A:D,4,0),0)</f>
        <v>179</v>
      </c>
      <c r="F34" s="9">
        <f t="shared" si="1"/>
        <v>179</v>
      </c>
      <c r="G34" s="9"/>
    </row>
    <row r="35">
      <c r="A35" s="4">
        <v>35.0</v>
      </c>
      <c r="B35" s="5" t="s">
        <v>49</v>
      </c>
      <c r="C35" s="6" t="s">
        <v>50</v>
      </c>
      <c r="D35" s="14">
        <v>1.0</v>
      </c>
      <c r="E35" s="8">
        <f>if(C35&lt;&gt;"", VLOOKUP(C35,' สรุปยอด 2'!A:D,4,0),0)</f>
        <v>179</v>
      </c>
      <c r="F35" s="9">
        <f t="shared" si="1"/>
        <v>179</v>
      </c>
      <c r="G35" s="9"/>
    </row>
    <row r="36">
      <c r="A36" s="4">
        <v>36.0</v>
      </c>
      <c r="B36" s="5" t="s">
        <v>49</v>
      </c>
      <c r="C36" s="6" t="s">
        <v>51</v>
      </c>
      <c r="D36" s="14">
        <v>1.0</v>
      </c>
      <c r="E36" s="8">
        <f>if(C36&lt;&gt;"", VLOOKUP(C36,' สรุปยอด 2'!A:D,4,0),0)</f>
        <v>99</v>
      </c>
      <c r="F36" s="9">
        <f t="shared" si="1"/>
        <v>99</v>
      </c>
      <c r="G36" s="9"/>
    </row>
    <row r="37">
      <c r="A37" s="4">
        <v>37.0</v>
      </c>
      <c r="B37" s="5" t="s">
        <v>52</v>
      </c>
      <c r="C37" s="6" t="s">
        <v>53</v>
      </c>
      <c r="D37" s="14">
        <v>1.0</v>
      </c>
      <c r="E37" s="8">
        <f>if(C37&lt;&gt;"", VLOOKUP(C37,' สรุปยอด 2'!A:D,4,0),0)</f>
        <v>209</v>
      </c>
      <c r="F37" s="9">
        <f t="shared" si="1"/>
        <v>209</v>
      </c>
      <c r="G37" s="9"/>
    </row>
    <row r="38">
      <c r="A38" s="4">
        <v>38.0</v>
      </c>
      <c r="B38" s="5" t="s">
        <v>52</v>
      </c>
      <c r="C38" s="6" t="s">
        <v>54</v>
      </c>
      <c r="D38" s="14">
        <v>1.0</v>
      </c>
      <c r="E38" s="8">
        <f>if(C38&lt;&gt;"", VLOOKUP(C38,' สรุปยอด 2'!A:D,4,0),0)</f>
        <v>209</v>
      </c>
      <c r="F38" s="9">
        <f t="shared" si="1"/>
        <v>209</v>
      </c>
      <c r="G38" s="9"/>
    </row>
    <row r="39">
      <c r="A39" s="4">
        <v>39.0</v>
      </c>
      <c r="B39" s="5" t="s">
        <v>55</v>
      </c>
      <c r="C39" s="6" t="s">
        <v>56</v>
      </c>
      <c r="D39" s="14">
        <v>1.0</v>
      </c>
      <c r="E39" s="8" t="str">
        <f>if(C39&lt;&gt;"", VLOOKUP(C39,' สรุปยอด 2'!A:D,4,0),0)</f>
        <v/>
      </c>
      <c r="F39" s="9">
        <f t="shared" si="1"/>
        <v>0</v>
      </c>
      <c r="G39" s="9"/>
    </row>
    <row r="40">
      <c r="A40" s="4">
        <v>40.0</v>
      </c>
      <c r="B40" s="5" t="s">
        <v>57</v>
      </c>
      <c r="C40" s="6" t="s">
        <v>36</v>
      </c>
      <c r="D40" s="14">
        <v>1.0</v>
      </c>
      <c r="E40" s="8">
        <f>if(C40&lt;&gt;"", VLOOKUP(C40,' สรุปยอด 2'!A:D,4,0),0)</f>
        <v>275</v>
      </c>
      <c r="F40" s="9">
        <f t="shared" si="1"/>
        <v>275</v>
      </c>
      <c r="G40" s="9"/>
    </row>
    <row r="41">
      <c r="A41" s="4">
        <v>41.0</v>
      </c>
      <c r="B41" s="5" t="s">
        <v>57</v>
      </c>
      <c r="C41" s="6" t="s">
        <v>58</v>
      </c>
      <c r="D41" s="14">
        <v>1.0</v>
      </c>
      <c r="E41" s="8">
        <f>if(C41&lt;&gt;"", VLOOKUP(C41,' สรุปยอด 2'!A:D,4,0),0)</f>
        <v>289</v>
      </c>
      <c r="F41" s="9">
        <f t="shared" si="1"/>
        <v>289</v>
      </c>
      <c r="G41" s="9"/>
    </row>
    <row r="42">
      <c r="A42" s="4">
        <v>42.0</v>
      </c>
      <c r="B42" s="5" t="s">
        <v>57</v>
      </c>
      <c r="C42" s="6" t="s">
        <v>59</v>
      </c>
      <c r="D42" s="14">
        <v>1.0</v>
      </c>
      <c r="E42" s="8">
        <f>if(C42&lt;&gt;"", VLOOKUP(C42,' สรุปยอด 2'!A:D,4,0),0)</f>
        <v>279</v>
      </c>
      <c r="F42" s="9">
        <f t="shared" si="1"/>
        <v>279</v>
      </c>
      <c r="G42" s="9"/>
    </row>
    <row r="43">
      <c r="A43" s="4">
        <v>43.0</v>
      </c>
      <c r="B43" s="5" t="s">
        <v>60</v>
      </c>
      <c r="C43" s="6" t="s">
        <v>61</v>
      </c>
      <c r="D43" s="14">
        <v>2.0</v>
      </c>
      <c r="E43" s="8">
        <f>if(C43&lt;&gt;"", VLOOKUP(C43,' สรุปยอด 2'!A:D,4,0),0)</f>
        <v>799</v>
      </c>
      <c r="F43" s="9">
        <f t="shared" si="1"/>
        <v>1598</v>
      </c>
      <c r="G43" s="9"/>
    </row>
    <row r="44">
      <c r="A44" s="4">
        <v>44.0</v>
      </c>
      <c r="B44" s="5" t="s">
        <v>60</v>
      </c>
      <c r="C44" s="6" t="s">
        <v>62</v>
      </c>
      <c r="D44" s="14">
        <v>1.0</v>
      </c>
      <c r="E44" s="8">
        <f>if(C44&lt;&gt;"", VLOOKUP(C44,' สรุปยอด 2'!A:D,4,0),0)</f>
        <v>1650</v>
      </c>
      <c r="F44" s="9">
        <f t="shared" si="1"/>
        <v>1650</v>
      </c>
      <c r="G44" s="9"/>
    </row>
    <row r="45">
      <c r="A45" s="4">
        <v>45.0</v>
      </c>
      <c r="B45" s="5" t="s">
        <v>60</v>
      </c>
      <c r="C45" s="6" t="s">
        <v>21</v>
      </c>
      <c r="D45" s="14">
        <v>4.0</v>
      </c>
      <c r="E45" s="8">
        <f>if(C45&lt;&gt;"", VLOOKUP(C45,' สรุปยอด 2'!A:D,4,0),0)</f>
        <v>85</v>
      </c>
      <c r="F45" s="9">
        <f t="shared" si="1"/>
        <v>340</v>
      </c>
      <c r="G45" s="9"/>
    </row>
    <row r="46">
      <c r="A46" s="4">
        <v>46.0</v>
      </c>
      <c r="B46" s="5" t="s">
        <v>60</v>
      </c>
      <c r="C46" s="6" t="s">
        <v>63</v>
      </c>
      <c r="D46" s="14">
        <v>4.0</v>
      </c>
      <c r="E46" s="8">
        <f>if(C46&lt;&gt;"", VLOOKUP(C46,' สรุปยอด 2'!A:D,4,0),0)</f>
        <v>85</v>
      </c>
      <c r="F46" s="9">
        <f t="shared" si="1"/>
        <v>340</v>
      </c>
      <c r="G46" s="9"/>
    </row>
    <row r="47">
      <c r="A47" s="4">
        <v>46.0</v>
      </c>
      <c r="B47" s="5" t="s">
        <v>60</v>
      </c>
      <c r="C47" s="6" t="s">
        <v>64</v>
      </c>
      <c r="D47" s="14">
        <v>2.0</v>
      </c>
      <c r="E47" s="8">
        <f>if(C47&lt;&gt;"", VLOOKUP(C47,' สรุปยอด 2'!A:D,4,0),0)</f>
        <v>249</v>
      </c>
      <c r="F47" s="9">
        <f t="shared" si="1"/>
        <v>498</v>
      </c>
      <c r="G47" s="9"/>
    </row>
    <row r="48">
      <c r="A48" s="4">
        <v>46.0</v>
      </c>
      <c r="B48" s="5" t="s">
        <v>65</v>
      </c>
      <c r="C48" s="6" t="s">
        <v>66</v>
      </c>
      <c r="D48" s="14">
        <v>1.0</v>
      </c>
      <c r="E48" s="8">
        <f>if(C48&lt;&gt;"", VLOOKUP(C48,' สรุปยอด 2'!A:D,4,0),0)</f>
        <v>259</v>
      </c>
      <c r="F48" s="9">
        <f t="shared" si="1"/>
        <v>259</v>
      </c>
      <c r="G48" s="9"/>
    </row>
    <row r="49">
      <c r="A49" s="4">
        <v>46.0</v>
      </c>
      <c r="B49" s="5" t="s">
        <v>65</v>
      </c>
      <c r="C49" s="6" t="s">
        <v>9</v>
      </c>
      <c r="D49" s="14">
        <v>1.0</v>
      </c>
      <c r="E49" s="8">
        <f>if(C49&lt;&gt;"", VLOOKUP(C49,' สรุปยอด 2'!A:D,4,0),0)</f>
        <v>219</v>
      </c>
      <c r="F49" s="9">
        <f t="shared" si="1"/>
        <v>219</v>
      </c>
      <c r="G49" s="9"/>
    </row>
    <row r="50">
      <c r="A50" s="4">
        <v>46.0</v>
      </c>
      <c r="B50" s="5" t="s">
        <v>67</v>
      </c>
      <c r="C50" s="6" t="s">
        <v>14</v>
      </c>
      <c r="D50" s="14">
        <v>1.0</v>
      </c>
      <c r="E50" s="8">
        <f>if(C50&lt;&gt;"", VLOOKUP(C50,' สรุปยอด 2'!A:D,4,0),0)</f>
        <v>7490</v>
      </c>
      <c r="F50" s="9">
        <f t="shared" si="1"/>
        <v>7490</v>
      </c>
      <c r="G50" s="9"/>
    </row>
    <row r="51">
      <c r="A51" s="4">
        <v>46.0</v>
      </c>
      <c r="B51" s="5" t="s">
        <v>68</v>
      </c>
      <c r="C51" s="6" t="s">
        <v>69</v>
      </c>
      <c r="D51" s="14">
        <v>1.0</v>
      </c>
      <c r="E51" s="8">
        <f>if(C51&lt;&gt;"", VLOOKUP(C51,' สรุปยอด 2'!A:D,4,0),0)</f>
        <v>1650</v>
      </c>
      <c r="F51" s="9">
        <f t="shared" si="1"/>
        <v>1650</v>
      </c>
      <c r="G51" s="9"/>
    </row>
    <row r="52">
      <c r="A52" s="4">
        <v>52.0</v>
      </c>
      <c r="B52" s="5" t="s">
        <v>70</v>
      </c>
      <c r="C52" s="6" t="s">
        <v>71</v>
      </c>
      <c r="D52" s="14">
        <v>1.0</v>
      </c>
      <c r="E52" s="8">
        <f>if(C52&lt;&gt;"", VLOOKUP(C52,' สรุปยอด 2'!A:D,4,0),0)</f>
        <v>209</v>
      </c>
      <c r="F52" s="9">
        <f t="shared" si="1"/>
        <v>209</v>
      </c>
      <c r="G52" s="9"/>
    </row>
    <row r="53">
      <c r="A53" s="4">
        <v>53.0</v>
      </c>
      <c r="B53" s="5" t="s">
        <v>70</v>
      </c>
      <c r="C53" s="6" t="s">
        <v>72</v>
      </c>
      <c r="D53" s="14">
        <v>1.0</v>
      </c>
      <c r="E53" s="8">
        <f>if(C53&lt;&gt;"", VLOOKUP(C53,' สรุปยอด 2'!A:D,4,0),0)</f>
        <v>159</v>
      </c>
      <c r="F53" s="9">
        <f t="shared" si="1"/>
        <v>159</v>
      </c>
      <c r="G53" s="9"/>
    </row>
    <row r="54">
      <c r="A54" s="4">
        <v>54.0</v>
      </c>
      <c r="B54" s="5" t="s">
        <v>15</v>
      </c>
      <c r="C54" s="6" t="s">
        <v>73</v>
      </c>
      <c r="D54" s="14">
        <v>1.0</v>
      </c>
      <c r="E54" s="8">
        <f>if(C54&lt;&gt;"", VLOOKUP(C54,' สรุปยอด 2'!A:D,4,0),0)</f>
        <v>269</v>
      </c>
      <c r="F54" s="9">
        <f t="shared" si="1"/>
        <v>269</v>
      </c>
      <c r="G54" s="9"/>
    </row>
    <row r="55">
      <c r="A55" s="4">
        <v>55.0</v>
      </c>
      <c r="B55" s="5" t="s">
        <v>74</v>
      </c>
      <c r="C55" s="6" t="s">
        <v>21</v>
      </c>
      <c r="D55" s="14">
        <v>4.0</v>
      </c>
      <c r="E55" s="8">
        <f>if(C55&lt;&gt;"", VLOOKUP(C55,' สรุปยอด 2'!A:D,4,0),0)</f>
        <v>85</v>
      </c>
      <c r="F55" s="9">
        <f t="shared" si="1"/>
        <v>340</v>
      </c>
      <c r="G55" s="9"/>
    </row>
    <row r="56">
      <c r="A56" s="4">
        <v>56.0</v>
      </c>
      <c r="B56" s="5" t="s">
        <v>74</v>
      </c>
      <c r="C56" s="6" t="s">
        <v>75</v>
      </c>
      <c r="D56" s="14">
        <v>3.0</v>
      </c>
      <c r="E56" s="8">
        <f>if(C56&lt;&gt;"", VLOOKUP(C56,' สรุปยอด 2'!A:D,4,0),0)</f>
        <v>50</v>
      </c>
      <c r="F56" s="9">
        <f t="shared" si="1"/>
        <v>150</v>
      </c>
      <c r="G56" s="9"/>
    </row>
    <row r="57">
      <c r="A57" s="4">
        <v>57.0</v>
      </c>
      <c r="B57" s="5" t="s">
        <v>74</v>
      </c>
      <c r="C57" s="6" t="s">
        <v>76</v>
      </c>
      <c r="D57" s="14">
        <v>1.0</v>
      </c>
      <c r="E57" s="8">
        <f>if(C57&lt;&gt;"", VLOOKUP(C57,' สรุปยอด 2'!A:D,4,0),0)</f>
        <v>199</v>
      </c>
      <c r="F57" s="9">
        <f t="shared" si="1"/>
        <v>199</v>
      </c>
      <c r="G57" s="9"/>
    </row>
    <row r="58">
      <c r="A58" s="4">
        <v>58.0</v>
      </c>
      <c r="B58" s="5" t="s">
        <v>74</v>
      </c>
      <c r="C58" s="6" t="s">
        <v>77</v>
      </c>
      <c r="D58" s="14">
        <v>1.0</v>
      </c>
      <c r="E58" s="8">
        <f>if(C58&lt;&gt;"", VLOOKUP(C58,' สรุปยอด 2'!A:D,4,0),0)</f>
        <v>159</v>
      </c>
      <c r="F58" s="9">
        <f t="shared" si="1"/>
        <v>159</v>
      </c>
      <c r="G58" s="9"/>
    </row>
    <row r="59">
      <c r="A59" s="4">
        <v>59.0</v>
      </c>
      <c r="B59" s="5" t="s">
        <v>74</v>
      </c>
      <c r="C59" s="6" t="s">
        <v>78</v>
      </c>
      <c r="D59" s="14">
        <v>1.0</v>
      </c>
      <c r="E59" s="8">
        <f>if(C59&lt;&gt;"", VLOOKUP(C59,' สรุปยอด 2'!A:D,4,0),0)</f>
        <v>159</v>
      </c>
      <c r="F59" s="9">
        <f t="shared" si="1"/>
        <v>159</v>
      </c>
      <c r="G59" s="9"/>
    </row>
    <row r="60">
      <c r="A60" s="4">
        <v>60.0</v>
      </c>
      <c r="B60" s="5" t="s">
        <v>79</v>
      </c>
      <c r="C60" s="6" t="s">
        <v>80</v>
      </c>
      <c r="D60" s="14">
        <v>1.0</v>
      </c>
      <c r="E60" s="8">
        <f>if(C60&lt;&gt;"", VLOOKUP(C60,' สรุปยอด 2'!A:D,4,0),0)</f>
        <v>295</v>
      </c>
      <c r="F60" s="9">
        <f t="shared" si="1"/>
        <v>295</v>
      </c>
      <c r="G60" s="9"/>
    </row>
    <row r="61">
      <c r="A61" s="4">
        <v>61.0</v>
      </c>
      <c r="B61" s="5" t="s">
        <v>79</v>
      </c>
      <c r="C61" s="6" t="s">
        <v>81</v>
      </c>
      <c r="D61" s="14">
        <v>1.0</v>
      </c>
      <c r="E61" s="8">
        <f>if(C61&lt;&gt;"", VLOOKUP(C61,' สรุปยอด 2'!A:D,4,0),0)</f>
        <v>209</v>
      </c>
      <c r="F61" s="9">
        <f t="shared" si="1"/>
        <v>209</v>
      </c>
      <c r="G61" s="9"/>
    </row>
    <row r="62">
      <c r="A62" s="4">
        <v>62.0</v>
      </c>
      <c r="B62" s="5" t="s">
        <v>23</v>
      </c>
      <c r="C62" s="6" t="s">
        <v>82</v>
      </c>
      <c r="D62" s="14">
        <v>1.0</v>
      </c>
      <c r="E62" s="8">
        <f>if(C62&lt;&gt;"", VLOOKUP(C62,' สรุปยอด 2'!A:D,4,0),0)</f>
        <v>579</v>
      </c>
      <c r="F62" s="9">
        <f t="shared" si="1"/>
        <v>579</v>
      </c>
      <c r="G62" s="9"/>
    </row>
    <row r="63">
      <c r="A63" s="4">
        <v>63.0</v>
      </c>
      <c r="B63" s="5" t="s">
        <v>83</v>
      </c>
      <c r="C63" s="6" t="s">
        <v>84</v>
      </c>
      <c r="D63" s="14">
        <v>1.0</v>
      </c>
      <c r="E63" s="8">
        <f>if(C63&lt;&gt;"", VLOOKUP(C63,' สรุปยอด 2'!A:D,4,0),0)</f>
        <v>7490</v>
      </c>
      <c r="F63" s="9">
        <f t="shared" si="1"/>
        <v>7490</v>
      </c>
      <c r="G63" s="9"/>
    </row>
    <row r="64">
      <c r="A64" s="4">
        <v>64.0</v>
      </c>
      <c r="B64" s="5" t="s">
        <v>85</v>
      </c>
      <c r="C64" s="6" t="s">
        <v>86</v>
      </c>
      <c r="D64" s="14">
        <v>1.0</v>
      </c>
      <c r="E64" s="8">
        <f>if(C64&lt;&gt;"", VLOOKUP(C64,' สรุปยอด 2'!A:D,4,0),0)</f>
        <v>199</v>
      </c>
      <c r="F64" s="9">
        <f t="shared" si="1"/>
        <v>199</v>
      </c>
      <c r="G64" s="9"/>
    </row>
    <row r="65">
      <c r="A65" s="4">
        <v>65.0</v>
      </c>
      <c r="B65" s="5" t="s">
        <v>85</v>
      </c>
      <c r="C65" s="6" t="s">
        <v>9</v>
      </c>
      <c r="D65" s="14">
        <v>1.0</v>
      </c>
      <c r="E65" s="8">
        <f>if(C65&lt;&gt;"", VLOOKUP(C65,' สรุปยอด 2'!A:D,4,0),0)</f>
        <v>219</v>
      </c>
      <c r="F65" s="9">
        <f t="shared" si="1"/>
        <v>219</v>
      </c>
      <c r="G65" s="9"/>
    </row>
    <row r="66">
      <c r="A66" s="4">
        <v>66.0</v>
      </c>
      <c r="B66" s="5" t="s">
        <v>85</v>
      </c>
      <c r="C66" s="6" t="s">
        <v>87</v>
      </c>
      <c r="D66" s="14">
        <v>1.0</v>
      </c>
      <c r="E66" s="8">
        <f>if(C66&lt;&gt;"", VLOOKUP(C66,' สรุปยอด 2'!A:D,4,0),0)</f>
        <v>129</v>
      </c>
      <c r="F66" s="9">
        <f t="shared" si="1"/>
        <v>129</v>
      </c>
      <c r="G66" s="9"/>
    </row>
    <row r="67">
      <c r="A67" s="4">
        <v>67.0</v>
      </c>
      <c r="B67" s="5" t="s">
        <v>85</v>
      </c>
      <c r="C67" s="6" t="s">
        <v>88</v>
      </c>
      <c r="D67" s="14">
        <v>2.0</v>
      </c>
      <c r="E67" s="8">
        <f>if(C67&lt;&gt;"", VLOOKUP(C67,' สรุปยอด 2'!A:D,4,0),0)</f>
        <v>49</v>
      </c>
      <c r="F67" s="9">
        <f t="shared" si="1"/>
        <v>98</v>
      </c>
      <c r="G67" s="9"/>
    </row>
    <row r="68">
      <c r="A68" s="4">
        <v>68.0</v>
      </c>
      <c r="B68" s="5" t="s">
        <v>89</v>
      </c>
      <c r="C68" s="6" t="s">
        <v>90</v>
      </c>
      <c r="D68" s="14">
        <v>1.0</v>
      </c>
      <c r="E68" s="8">
        <f>if(C68&lt;&gt;"", VLOOKUP(C68,' สรุปยอด 2'!A:D,4,0),0)</f>
        <v>299</v>
      </c>
      <c r="F68" s="9">
        <f t="shared" si="1"/>
        <v>299</v>
      </c>
      <c r="G68" s="9"/>
    </row>
    <row r="69" ht="16.5" customHeight="1">
      <c r="A69" s="4">
        <v>69.0</v>
      </c>
      <c r="B69" s="5" t="s">
        <v>91</v>
      </c>
      <c r="C69" s="6" t="s">
        <v>14</v>
      </c>
      <c r="D69" s="14">
        <v>1.0</v>
      </c>
      <c r="E69" s="8">
        <f>if(C69&lt;&gt;"", VLOOKUP(C69,' สรุปยอด 2'!A:D,4,0),0)</f>
        <v>7490</v>
      </c>
      <c r="F69" s="9">
        <f t="shared" si="1"/>
        <v>7490</v>
      </c>
    </row>
    <row r="70">
      <c r="A70" s="4">
        <v>70.0</v>
      </c>
      <c r="B70" s="5" t="s">
        <v>92</v>
      </c>
      <c r="C70" s="6" t="s">
        <v>93</v>
      </c>
      <c r="D70" s="14">
        <v>1.0</v>
      </c>
      <c r="E70" s="8">
        <f>if(C70&lt;&gt;"", VLOOKUP(C70,' สรุปยอด 2'!A:D,4,0),0)</f>
        <v>679</v>
      </c>
      <c r="F70" s="9">
        <f t="shared" si="1"/>
        <v>679</v>
      </c>
      <c r="G70" s="9"/>
    </row>
    <row r="71">
      <c r="A71" s="4">
        <v>71.0</v>
      </c>
      <c r="B71" s="15" t="s">
        <v>94</v>
      </c>
      <c r="C71" s="16" t="s">
        <v>95</v>
      </c>
      <c r="D71" s="15">
        <v>1.0</v>
      </c>
      <c r="E71" s="8">
        <f>if(C71&lt;&gt;"", VLOOKUP(C71,' สรุปยอด 2'!A:D,4,0),0)</f>
        <v>579</v>
      </c>
      <c r="F71" s="9">
        <f t="shared" si="1"/>
        <v>579</v>
      </c>
      <c r="G71" s="9"/>
    </row>
    <row r="72" ht="26.25" customHeight="1">
      <c r="A72" s="4">
        <v>72.0</v>
      </c>
      <c r="B72" s="5" t="s">
        <v>96</v>
      </c>
      <c r="C72" s="6" t="s">
        <v>97</v>
      </c>
      <c r="D72" s="14">
        <v>2.0</v>
      </c>
      <c r="E72" s="8">
        <f>if(C72&lt;&gt;"", VLOOKUP(C72,' สรุปยอด 2'!A:D,4,0),0)</f>
        <v>219</v>
      </c>
      <c r="F72" s="9">
        <f t="shared" si="1"/>
        <v>438</v>
      </c>
      <c r="G72" s="9"/>
    </row>
    <row r="73" ht="22.5" customHeight="1">
      <c r="A73" s="4">
        <v>73.0</v>
      </c>
      <c r="B73" s="5" t="s">
        <v>96</v>
      </c>
      <c r="C73" s="6" t="s">
        <v>98</v>
      </c>
      <c r="D73" s="14">
        <v>1.0</v>
      </c>
      <c r="E73" s="8">
        <f>if(C73&lt;&gt;"", VLOOKUP(C73,' สรุปยอด 2'!A:D,4,0),0)</f>
        <v>219</v>
      </c>
      <c r="F73" s="9">
        <f t="shared" si="1"/>
        <v>219</v>
      </c>
      <c r="G73" s="9"/>
    </row>
    <row r="74" ht="22.5" customHeight="1">
      <c r="A74" s="4">
        <v>74.0</v>
      </c>
      <c r="B74" s="5" t="s">
        <v>83</v>
      </c>
      <c r="C74" s="6" t="s">
        <v>99</v>
      </c>
      <c r="D74" s="14">
        <v>3.0</v>
      </c>
      <c r="E74" s="8">
        <f>if(C74&lt;&gt;"", VLOOKUP(C74,' สรุปยอด 2'!A:D,4,0),0)</f>
        <v>79</v>
      </c>
      <c r="F74" s="9">
        <f t="shared" si="1"/>
        <v>237</v>
      </c>
      <c r="G74" s="9"/>
    </row>
    <row r="75" ht="24.75" customHeight="1">
      <c r="A75" s="4">
        <v>75.0</v>
      </c>
      <c r="B75" s="5" t="s">
        <v>100</v>
      </c>
      <c r="C75" s="6" t="s">
        <v>101</v>
      </c>
      <c r="D75" s="14">
        <v>1.0</v>
      </c>
      <c r="E75" s="8">
        <f>if(C75&lt;&gt;"", VLOOKUP(C75,' สรุปยอด 2'!A:D,4,0),0)</f>
        <v>2390</v>
      </c>
      <c r="F75" s="9">
        <f t="shared" si="1"/>
        <v>2390</v>
      </c>
      <c r="G75" s="9"/>
    </row>
    <row r="76">
      <c r="A76" s="4">
        <v>76.0</v>
      </c>
      <c r="B76" s="5" t="s">
        <v>100</v>
      </c>
      <c r="C76" s="17" t="s">
        <v>102</v>
      </c>
      <c r="D76" s="14">
        <v>1.0</v>
      </c>
      <c r="E76" s="8">
        <f>if(C76&lt;&gt;"", VLOOKUP(C76,' สรุปยอด 2'!A:D,4,0),0)</f>
        <v>1999</v>
      </c>
      <c r="F76" s="9">
        <f t="shared" si="1"/>
        <v>1999</v>
      </c>
      <c r="G76" s="9"/>
    </row>
    <row r="77">
      <c r="A77" s="4">
        <v>77.0</v>
      </c>
      <c r="B77" s="5" t="s">
        <v>100</v>
      </c>
      <c r="C77" s="17" t="s">
        <v>103</v>
      </c>
      <c r="D77" s="14">
        <v>1.0</v>
      </c>
      <c r="E77" s="8">
        <f>if(C77&lt;&gt;"", VLOOKUP(C77,' สรุปยอด 2'!A:D,4,0),0)</f>
        <v>799</v>
      </c>
      <c r="F77" s="9">
        <f t="shared" si="1"/>
        <v>799</v>
      </c>
      <c r="G77" s="9"/>
    </row>
    <row r="78">
      <c r="A78" s="4">
        <v>78.0</v>
      </c>
      <c r="B78" s="5" t="s">
        <v>100</v>
      </c>
      <c r="C78" s="6" t="s">
        <v>104</v>
      </c>
      <c r="D78" s="14">
        <v>1.0</v>
      </c>
      <c r="E78" s="8">
        <f>if(C78&lt;&gt;"", VLOOKUP(C78,' สรุปยอด 2'!A:D,4,0),0)</f>
        <v>1249</v>
      </c>
      <c r="F78" s="9">
        <f t="shared" si="1"/>
        <v>1249</v>
      </c>
      <c r="G78" s="9"/>
    </row>
    <row r="79">
      <c r="A79" s="4">
        <v>79.0</v>
      </c>
      <c r="B79" s="5" t="s">
        <v>8</v>
      </c>
      <c r="C79" s="6" t="s">
        <v>105</v>
      </c>
      <c r="D79" s="14">
        <v>1.0</v>
      </c>
      <c r="E79" s="8">
        <f>if(C79&lt;&gt;"", VLOOKUP(C79,' สรุปยอด 2'!A:D,4,0),0)</f>
        <v>219</v>
      </c>
      <c r="F79" s="9">
        <f t="shared" si="1"/>
        <v>219</v>
      </c>
      <c r="G79" s="9"/>
    </row>
    <row r="80">
      <c r="A80" s="4">
        <v>80.0</v>
      </c>
      <c r="B80" s="5" t="s">
        <v>8</v>
      </c>
      <c r="C80" s="6" t="s">
        <v>106</v>
      </c>
      <c r="D80" s="14">
        <v>1.0</v>
      </c>
      <c r="E80" s="8">
        <f>if(C80&lt;&gt;"", VLOOKUP(C80,' สรุปยอด 2'!A:D,4,0),0)</f>
        <v>329</v>
      </c>
      <c r="F80" s="9">
        <f t="shared" si="1"/>
        <v>329</v>
      </c>
      <c r="G80" s="9"/>
    </row>
    <row r="81">
      <c r="A81" s="4">
        <v>81.0</v>
      </c>
      <c r="B81" s="5" t="s">
        <v>8</v>
      </c>
      <c r="C81" s="6" t="s">
        <v>107</v>
      </c>
      <c r="D81" s="14">
        <v>1.0</v>
      </c>
      <c r="E81" s="8">
        <f>if(C81&lt;&gt;"", VLOOKUP(C81,' สรุปยอด 2'!A:D,4,0),0)</f>
        <v>239</v>
      </c>
      <c r="F81" s="9">
        <f t="shared" si="1"/>
        <v>239</v>
      </c>
      <c r="G81" s="9"/>
    </row>
    <row r="82">
      <c r="A82" s="4">
        <v>82.0</v>
      </c>
      <c r="B82" s="5" t="s">
        <v>108</v>
      </c>
      <c r="C82" s="6" t="s">
        <v>109</v>
      </c>
      <c r="D82" s="14">
        <v>2.0</v>
      </c>
      <c r="E82" s="8">
        <f>if(C82&lt;&gt;"", VLOOKUP(C82,' สรุปยอด 2'!A:D,4,0),0)</f>
        <v>259</v>
      </c>
      <c r="F82" s="9">
        <f t="shared" si="1"/>
        <v>518</v>
      </c>
      <c r="G82" s="9"/>
    </row>
    <row r="83">
      <c r="A83" s="4">
        <v>83.0</v>
      </c>
      <c r="B83" s="5" t="s">
        <v>108</v>
      </c>
      <c r="C83" s="6" t="s">
        <v>110</v>
      </c>
      <c r="D83" s="14">
        <v>1.0</v>
      </c>
      <c r="E83" s="8">
        <f>if(C83&lt;&gt;"", VLOOKUP(C83,' สรุปยอด 2'!A:D,4,0),0)</f>
        <v>259</v>
      </c>
      <c r="F83" s="9">
        <f t="shared" si="1"/>
        <v>259</v>
      </c>
      <c r="G83" s="9"/>
    </row>
    <row r="84">
      <c r="A84" s="4">
        <v>84.0</v>
      </c>
      <c r="B84" s="5" t="s">
        <v>108</v>
      </c>
      <c r="C84" s="6" t="s">
        <v>111</v>
      </c>
      <c r="D84" s="14">
        <v>2.0</v>
      </c>
      <c r="E84" s="8">
        <f>if(C84&lt;&gt;"", VLOOKUP(C84,' สรุปยอด 2'!A:D,4,0),0)</f>
        <v>99</v>
      </c>
      <c r="F84" s="9">
        <f t="shared" si="1"/>
        <v>198</v>
      </c>
      <c r="G84" s="9"/>
    </row>
    <row r="85">
      <c r="A85" s="4">
        <v>85.0</v>
      </c>
      <c r="B85" s="5" t="s">
        <v>24</v>
      </c>
      <c r="C85" s="6" t="s">
        <v>112</v>
      </c>
      <c r="D85" s="14">
        <v>3.0</v>
      </c>
      <c r="E85" s="8">
        <f>if(C85&lt;&gt;"", VLOOKUP(C85,' สรุปยอด 2'!A:D,4,0),0)</f>
        <v>235</v>
      </c>
      <c r="F85" s="9">
        <f t="shared" si="1"/>
        <v>705</v>
      </c>
      <c r="G85" s="9"/>
    </row>
    <row r="86">
      <c r="A86" s="4">
        <v>86.0</v>
      </c>
      <c r="B86" s="5" t="s">
        <v>57</v>
      </c>
      <c r="C86" s="6" t="s">
        <v>38</v>
      </c>
      <c r="D86" s="14">
        <v>1.0</v>
      </c>
      <c r="E86" s="8">
        <f>if(C86&lt;&gt;"", VLOOKUP(C86,' สรุปยอด 2'!A:D,4,0),0)</f>
        <v>305</v>
      </c>
      <c r="F86" s="9">
        <f t="shared" si="1"/>
        <v>305</v>
      </c>
      <c r="G86" s="9"/>
    </row>
    <row r="87">
      <c r="A87" s="4">
        <v>87.0</v>
      </c>
      <c r="B87" s="5" t="s">
        <v>79</v>
      </c>
      <c r="C87" s="6" t="s">
        <v>113</v>
      </c>
      <c r="D87" s="14">
        <v>1.0</v>
      </c>
      <c r="E87" s="8">
        <f>if(C87&lt;&gt;"", VLOOKUP(C87,' สรุปยอด 2'!A:D,4,0),0)</f>
        <v>179</v>
      </c>
      <c r="F87" s="9">
        <f t="shared" si="1"/>
        <v>179</v>
      </c>
      <c r="G87" s="9"/>
    </row>
    <row r="88">
      <c r="A88" s="4">
        <v>88.0</v>
      </c>
      <c r="B88" s="5" t="s">
        <v>79</v>
      </c>
      <c r="C88" s="6" t="s">
        <v>114</v>
      </c>
      <c r="D88" s="14">
        <v>1.0</v>
      </c>
      <c r="E88" s="8">
        <f>if(C88&lt;&gt;"", VLOOKUP(C88,' สรุปยอด 2'!A:D,4,0),0)</f>
        <v>179</v>
      </c>
      <c r="F88" s="9">
        <f t="shared" si="1"/>
        <v>179</v>
      </c>
      <c r="G88" s="9"/>
    </row>
    <row r="89">
      <c r="A89" s="4">
        <v>90.0</v>
      </c>
      <c r="B89" s="5" t="s">
        <v>79</v>
      </c>
      <c r="C89" s="6" t="s">
        <v>115</v>
      </c>
      <c r="D89" s="14">
        <v>1.0</v>
      </c>
      <c r="E89" s="8">
        <f>if(C89&lt;&gt;"", VLOOKUP(C89,' สรุปยอด 2'!A:D,4,0),0)</f>
        <v>279</v>
      </c>
      <c r="F89" s="9">
        <f t="shared" si="1"/>
        <v>279</v>
      </c>
      <c r="G89" s="9"/>
    </row>
    <row r="90">
      <c r="A90" s="4">
        <v>91.0</v>
      </c>
      <c r="B90" s="5" t="s">
        <v>116</v>
      </c>
      <c r="C90" s="6" t="s">
        <v>117</v>
      </c>
      <c r="D90" s="14">
        <v>1.0</v>
      </c>
      <c r="E90" s="8">
        <f>if(C90&lt;&gt;"", VLOOKUP(C90,' สรุปยอด 2'!A:D,4,0),0)</f>
        <v>659</v>
      </c>
      <c r="F90" s="9">
        <f t="shared" si="1"/>
        <v>659</v>
      </c>
      <c r="G90" s="9"/>
    </row>
    <row r="91">
      <c r="A91" s="4">
        <v>92.0</v>
      </c>
      <c r="B91" s="5" t="s">
        <v>118</v>
      </c>
      <c r="C91" s="6" t="s">
        <v>119</v>
      </c>
      <c r="D91" s="14">
        <v>1.0</v>
      </c>
      <c r="E91" s="8">
        <f>if(C91&lt;&gt;"", VLOOKUP(C91,' สรุปยอด 2'!A:D,4,0),0)</f>
        <v>579</v>
      </c>
      <c r="F91" s="9">
        <f t="shared" si="1"/>
        <v>579</v>
      </c>
      <c r="G91" s="9"/>
    </row>
    <row r="92">
      <c r="A92" s="4">
        <v>93.0</v>
      </c>
      <c r="B92" s="5" t="s">
        <v>120</v>
      </c>
      <c r="C92" s="6" t="s">
        <v>121</v>
      </c>
      <c r="D92" s="14">
        <v>1.0</v>
      </c>
      <c r="E92" s="8">
        <f>if(C92&lt;&gt;"", VLOOKUP(C92,' สรุปยอด 2'!A:D,4,0),0)</f>
        <v>1750</v>
      </c>
      <c r="F92" s="9">
        <f t="shared" si="1"/>
        <v>1750</v>
      </c>
      <c r="G92" s="9"/>
    </row>
    <row r="93">
      <c r="A93" s="4">
        <v>94.0</v>
      </c>
      <c r="B93" s="5" t="s">
        <v>15</v>
      </c>
      <c r="C93" s="6" t="s">
        <v>122</v>
      </c>
      <c r="D93" s="14">
        <v>1.0</v>
      </c>
      <c r="E93" s="8">
        <f>if(C93&lt;&gt;"", VLOOKUP(C93,' สรุปยอด 2'!A:D,4,0),0)</f>
        <v>99</v>
      </c>
      <c r="F93" s="9">
        <f t="shared" si="1"/>
        <v>99</v>
      </c>
      <c r="G93" s="9"/>
    </row>
    <row r="94">
      <c r="A94" s="4">
        <v>95.0</v>
      </c>
      <c r="B94" s="5" t="s">
        <v>123</v>
      </c>
      <c r="C94" s="6" t="s">
        <v>124</v>
      </c>
      <c r="D94" s="14">
        <v>1.0</v>
      </c>
      <c r="E94" s="8">
        <f>if(C94&lt;&gt;"", VLOOKUP(C94,' สรุปยอด 2'!A:D,4,0),0)</f>
        <v>205</v>
      </c>
      <c r="F94" s="9">
        <f t="shared" si="1"/>
        <v>205</v>
      </c>
      <c r="G94" s="9"/>
    </row>
    <row r="95">
      <c r="A95" s="4">
        <v>96.0</v>
      </c>
      <c r="B95" s="5" t="s">
        <v>123</v>
      </c>
      <c r="C95" s="6" t="s">
        <v>125</v>
      </c>
      <c r="D95" s="14">
        <v>2.0</v>
      </c>
      <c r="E95" s="8">
        <f>if(C95&lt;&gt;"", VLOOKUP(C95,' สรุปยอด 2'!A:D,4,0),0)</f>
        <v>65</v>
      </c>
      <c r="F95" s="9">
        <f t="shared" si="1"/>
        <v>130</v>
      </c>
      <c r="G95" s="9"/>
    </row>
    <row r="96">
      <c r="A96" s="4">
        <v>97.0</v>
      </c>
      <c r="B96" s="5" t="s">
        <v>60</v>
      </c>
      <c r="C96" s="6" t="s">
        <v>107</v>
      </c>
      <c r="D96" s="14">
        <v>1.0</v>
      </c>
      <c r="E96" s="8">
        <f>if(C96&lt;&gt;"", VLOOKUP(C96,' สรุปยอด 2'!A:D,4,0),0)</f>
        <v>239</v>
      </c>
      <c r="F96" s="9">
        <f t="shared" si="1"/>
        <v>239</v>
      </c>
      <c r="G96" s="9"/>
    </row>
    <row r="97">
      <c r="A97" s="4">
        <v>98.0</v>
      </c>
      <c r="B97" s="5" t="s">
        <v>60</v>
      </c>
      <c r="C97" s="6" t="s">
        <v>126</v>
      </c>
      <c r="D97" s="14">
        <v>1.0</v>
      </c>
      <c r="E97" s="8">
        <f>if(C97&lt;&gt;"", VLOOKUP(C97,' สรุปยอด 2'!A:D,4,0),0)</f>
        <v>239</v>
      </c>
      <c r="F97" s="9">
        <f t="shared" si="1"/>
        <v>239</v>
      </c>
      <c r="G97" s="9"/>
    </row>
    <row r="98">
      <c r="A98" s="4">
        <v>99.0</v>
      </c>
      <c r="B98" s="5" t="s">
        <v>127</v>
      </c>
      <c r="C98" s="6" t="s">
        <v>51</v>
      </c>
      <c r="D98" s="14">
        <v>1.0</v>
      </c>
      <c r="E98" s="8">
        <f>if(C98&lt;&gt;"", VLOOKUP(C98,' สรุปยอด 2'!A:D,4,0),0)</f>
        <v>99</v>
      </c>
      <c r="F98" s="9">
        <f t="shared" si="1"/>
        <v>99</v>
      </c>
      <c r="G98" s="9"/>
    </row>
    <row r="99">
      <c r="A99" s="4">
        <v>100.0</v>
      </c>
      <c r="B99" s="5" t="s">
        <v>128</v>
      </c>
      <c r="C99" s="6" t="s">
        <v>129</v>
      </c>
      <c r="D99" s="14">
        <v>2.0</v>
      </c>
      <c r="E99" s="8">
        <f>if(C99&lt;&gt;"", VLOOKUP(C99,' สรุปยอด 2'!A:D,4,0),0)</f>
        <v>199</v>
      </c>
      <c r="F99" s="9">
        <f t="shared" si="1"/>
        <v>398</v>
      </c>
      <c r="G99" s="9"/>
    </row>
    <row r="100">
      <c r="A100" s="4">
        <v>101.0</v>
      </c>
      <c r="B100" s="5" t="s">
        <v>128</v>
      </c>
      <c r="C100" s="6" t="s">
        <v>130</v>
      </c>
      <c r="D100" s="14">
        <v>2.0</v>
      </c>
      <c r="E100" s="8">
        <f>if(C100&lt;&gt;"", VLOOKUP(C100,' สรุปยอด 2'!A:D,4,0),0)</f>
        <v>245</v>
      </c>
      <c r="F100" s="9">
        <f t="shared" si="1"/>
        <v>490</v>
      </c>
      <c r="G100" s="9"/>
    </row>
    <row r="101">
      <c r="A101" s="4">
        <v>102.0</v>
      </c>
      <c r="B101" s="5" t="s">
        <v>128</v>
      </c>
      <c r="C101" s="6" t="s">
        <v>131</v>
      </c>
      <c r="D101" s="14">
        <v>1.0</v>
      </c>
      <c r="E101" s="8">
        <f>if(C101&lt;&gt;"", VLOOKUP(C101,' สรุปยอด 2'!A:D,4,0),0)</f>
        <v>659</v>
      </c>
      <c r="F101" s="9">
        <f t="shared" si="1"/>
        <v>659</v>
      </c>
      <c r="G101" s="9"/>
    </row>
    <row r="102">
      <c r="A102" s="4">
        <v>103.0</v>
      </c>
      <c r="B102" s="5" t="s">
        <v>23</v>
      </c>
      <c r="C102" s="6" t="s">
        <v>132</v>
      </c>
      <c r="D102" s="14">
        <v>1.0</v>
      </c>
      <c r="E102" s="8">
        <f>if(C102&lt;&gt;"", VLOOKUP(C102,' สรุปยอด 2'!A:D,4,0),0)</f>
        <v>259</v>
      </c>
      <c r="F102" s="9">
        <f t="shared" si="1"/>
        <v>259</v>
      </c>
      <c r="G102" s="9"/>
    </row>
    <row r="103">
      <c r="A103" s="4">
        <v>104.0</v>
      </c>
      <c r="B103" s="5" t="s">
        <v>133</v>
      </c>
      <c r="C103" s="12" t="s">
        <v>134</v>
      </c>
      <c r="D103" s="14">
        <v>1.0</v>
      </c>
      <c r="E103" s="8">
        <f>if(C103&lt;&gt;"", VLOOKUP(C103,' สรุปยอด 2'!A:D,4,0),0)</f>
        <v>145</v>
      </c>
      <c r="F103" s="9">
        <f t="shared" si="1"/>
        <v>145</v>
      </c>
      <c r="G103" s="9"/>
    </row>
    <row r="104">
      <c r="A104" s="4">
        <v>105.0</v>
      </c>
      <c r="B104" s="5" t="s">
        <v>26</v>
      </c>
      <c r="C104" s="6" t="s">
        <v>135</v>
      </c>
      <c r="D104" s="14">
        <v>1.0</v>
      </c>
      <c r="E104" s="8">
        <f>if(C104&lt;&gt;"", VLOOKUP(C104,' สรุปยอด 2'!A:D,4,0),0)</f>
        <v>139</v>
      </c>
      <c r="F104" s="9">
        <f t="shared" si="1"/>
        <v>139</v>
      </c>
      <c r="G104" s="9"/>
    </row>
    <row r="105">
      <c r="A105" s="4">
        <v>106.0</v>
      </c>
      <c r="B105" s="5" t="s">
        <v>26</v>
      </c>
      <c r="C105" s="6" t="s">
        <v>136</v>
      </c>
      <c r="D105" s="14">
        <v>2.0</v>
      </c>
      <c r="E105" s="8">
        <f>if(C105&lt;&gt;"", VLOOKUP(C105,' สรุปยอด 2'!A:D,4,0),0)</f>
        <v>439</v>
      </c>
      <c r="F105" s="9">
        <f t="shared" si="1"/>
        <v>878</v>
      </c>
      <c r="G105" s="9"/>
    </row>
    <row r="106">
      <c r="A106" s="4">
        <v>107.0</v>
      </c>
      <c r="B106" s="5" t="s">
        <v>137</v>
      </c>
      <c r="C106" s="12" t="s">
        <v>138</v>
      </c>
      <c r="D106" s="14">
        <v>1.0</v>
      </c>
      <c r="E106" s="8">
        <f>if(C106&lt;&gt;"", VLOOKUP(C106,' สรุปยอด 2'!A:D,4,0),0)</f>
        <v>249</v>
      </c>
      <c r="F106" s="9">
        <f t="shared" si="1"/>
        <v>249</v>
      </c>
      <c r="G106" s="9"/>
    </row>
    <row r="107">
      <c r="A107" s="4">
        <v>108.0</v>
      </c>
      <c r="B107" s="5" t="s">
        <v>137</v>
      </c>
      <c r="C107" s="6" t="s">
        <v>139</v>
      </c>
      <c r="D107" s="14">
        <v>1.0</v>
      </c>
      <c r="E107" s="8">
        <f>if(C107&lt;&gt;"", VLOOKUP(C107,' สรุปยอด 2'!A:D,4,0),0)</f>
        <v>129</v>
      </c>
      <c r="F107" s="9">
        <f t="shared" si="1"/>
        <v>129</v>
      </c>
      <c r="G107" s="9"/>
    </row>
    <row r="108">
      <c r="A108" s="4">
        <v>109.0</v>
      </c>
      <c r="B108" s="5" t="s">
        <v>137</v>
      </c>
      <c r="C108" s="12" t="s">
        <v>140</v>
      </c>
      <c r="D108" s="14">
        <v>1.0</v>
      </c>
      <c r="E108" s="8">
        <f>if(C108&lt;&gt;"", VLOOKUP(C108,' สรุปยอด 2'!A:D,4,0),0)</f>
        <v>199</v>
      </c>
      <c r="F108" s="9">
        <f t="shared" si="1"/>
        <v>199</v>
      </c>
      <c r="G108" s="9"/>
    </row>
    <row r="109">
      <c r="A109" s="4">
        <v>110.0</v>
      </c>
      <c r="B109" s="5" t="s">
        <v>24</v>
      </c>
      <c r="C109" s="12" t="s">
        <v>141</v>
      </c>
      <c r="D109" s="14">
        <v>3.0</v>
      </c>
      <c r="E109" s="8">
        <f>if(C109&lt;&gt;"", VLOOKUP(C109,' สรุปยอด 2'!A:D,4,0),0)</f>
        <v>899</v>
      </c>
      <c r="F109" s="9">
        <f t="shared" si="1"/>
        <v>2697</v>
      </c>
      <c r="G109" s="9"/>
    </row>
    <row r="110">
      <c r="A110" s="4">
        <v>111.0</v>
      </c>
      <c r="B110" s="5" t="s">
        <v>24</v>
      </c>
      <c r="C110" s="12" t="s">
        <v>142</v>
      </c>
      <c r="D110" s="14">
        <v>2.0</v>
      </c>
      <c r="E110" s="8">
        <f>if(C110&lt;&gt;"", VLOOKUP(C110,' สรุปยอด 2'!A:D,4,0),0)</f>
        <v>219</v>
      </c>
      <c r="F110" s="9">
        <f t="shared" si="1"/>
        <v>438</v>
      </c>
      <c r="G110" s="9"/>
    </row>
    <row r="111">
      <c r="A111" s="4">
        <v>112.0</v>
      </c>
      <c r="B111" s="5" t="s">
        <v>24</v>
      </c>
      <c r="C111" s="12" t="s">
        <v>143</v>
      </c>
      <c r="D111" s="14">
        <v>1.0</v>
      </c>
      <c r="E111" s="8">
        <f>if(C111&lt;&gt;"", VLOOKUP(C111,' สรุปยอด 2'!A:D,4,0),0)</f>
        <v>309</v>
      </c>
      <c r="F111" s="9">
        <f t="shared" si="1"/>
        <v>309</v>
      </c>
      <c r="G111" s="9"/>
    </row>
    <row r="112">
      <c r="A112" s="4">
        <v>113.0</v>
      </c>
      <c r="B112" s="5" t="s">
        <v>24</v>
      </c>
      <c r="C112" s="6" t="s">
        <v>144</v>
      </c>
      <c r="D112" s="14">
        <v>1.0</v>
      </c>
      <c r="E112" s="8">
        <f>if(C112&lt;&gt;"", VLOOKUP(C112,' สรุปยอด 2'!A:D,4,0),0)</f>
        <v>299</v>
      </c>
      <c r="F112" s="9">
        <f t="shared" si="1"/>
        <v>299</v>
      </c>
      <c r="G112" s="9"/>
    </row>
    <row r="113">
      <c r="A113" s="4">
        <v>114.0</v>
      </c>
      <c r="B113" s="5" t="s">
        <v>24</v>
      </c>
      <c r="C113" s="6" t="s">
        <v>145</v>
      </c>
      <c r="D113" s="14">
        <v>2.0</v>
      </c>
      <c r="E113" s="8">
        <f>if(C113&lt;&gt;"", VLOOKUP(C113,' สรุปยอด 2'!A:D,4,0),0)</f>
        <v>145</v>
      </c>
      <c r="F113" s="9">
        <f t="shared" si="1"/>
        <v>290</v>
      </c>
      <c r="G113" s="9"/>
    </row>
    <row r="114">
      <c r="A114" s="4">
        <v>115.0</v>
      </c>
      <c r="B114" s="5" t="s">
        <v>24</v>
      </c>
      <c r="C114" s="6" t="s">
        <v>146</v>
      </c>
      <c r="D114" s="14">
        <v>1.0</v>
      </c>
      <c r="E114" s="8">
        <f>if(C114&lt;&gt;"", VLOOKUP(C114,' สรุปยอด 2'!A:D,4,0),0)</f>
        <v>115</v>
      </c>
      <c r="F114" s="9">
        <f t="shared" si="1"/>
        <v>115</v>
      </c>
      <c r="G114" s="9"/>
    </row>
    <row r="115">
      <c r="A115" s="4">
        <v>116.0</v>
      </c>
      <c r="B115" s="5" t="s">
        <v>24</v>
      </c>
      <c r="C115" s="12" t="s">
        <v>147</v>
      </c>
      <c r="D115" s="14">
        <v>3.0</v>
      </c>
      <c r="E115" s="8">
        <f>if(C115&lt;&gt;"", VLOOKUP(C115,' สรุปยอด 2'!A:D,4,0),0)</f>
        <v>115</v>
      </c>
      <c r="F115" s="9">
        <f t="shared" si="1"/>
        <v>345</v>
      </c>
      <c r="G115" s="9"/>
    </row>
    <row r="116">
      <c r="A116" s="4">
        <v>117.0</v>
      </c>
      <c r="B116" s="5" t="s">
        <v>39</v>
      </c>
      <c r="C116" s="6" t="s">
        <v>148</v>
      </c>
      <c r="D116" s="14">
        <v>1.0</v>
      </c>
      <c r="E116" s="8">
        <f>if(C116&lt;&gt;"", VLOOKUP(C116,' สรุปยอด 2'!A:D,4,0),0)</f>
        <v>349</v>
      </c>
      <c r="F116" s="9">
        <f t="shared" si="1"/>
        <v>349</v>
      </c>
      <c r="G116" s="9"/>
    </row>
    <row r="117">
      <c r="A117" s="4">
        <v>118.0</v>
      </c>
      <c r="B117" s="5" t="s">
        <v>89</v>
      </c>
      <c r="C117" s="6" t="s">
        <v>149</v>
      </c>
      <c r="D117" s="14">
        <v>1.0</v>
      </c>
      <c r="E117" s="8">
        <f>if(C117&lt;&gt;"", VLOOKUP(C117,' สรุปยอด 2'!A:D,4,0),0)</f>
        <v>249</v>
      </c>
      <c r="F117" s="9">
        <f t="shared" si="1"/>
        <v>249</v>
      </c>
      <c r="G117" s="9"/>
    </row>
    <row r="118">
      <c r="A118" s="4">
        <v>119.0</v>
      </c>
      <c r="B118" s="5" t="s">
        <v>49</v>
      </c>
      <c r="C118" s="6" t="s">
        <v>20</v>
      </c>
      <c r="D118" s="14">
        <v>1.0</v>
      </c>
      <c r="E118" s="8">
        <f>if(C118&lt;&gt;"", VLOOKUP(C118,' สรุปยอด 2'!A:D,4,0),0)</f>
        <v>195</v>
      </c>
      <c r="F118" s="9">
        <f t="shared" si="1"/>
        <v>195</v>
      </c>
      <c r="G118" s="9"/>
    </row>
    <row r="119">
      <c r="A119" s="4">
        <v>120.0</v>
      </c>
      <c r="B119" s="5" t="s">
        <v>150</v>
      </c>
      <c r="C119" s="6" t="s">
        <v>82</v>
      </c>
      <c r="D119" s="14">
        <v>1.0</v>
      </c>
      <c r="E119" s="8">
        <f>if(C119&lt;&gt;"", VLOOKUP(C119,' สรุปยอด 2'!A:D,4,0),0)</f>
        <v>579</v>
      </c>
      <c r="F119" s="9">
        <f t="shared" si="1"/>
        <v>579</v>
      </c>
      <c r="G119" s="9"/>
    </row>
    <row r="120">
      <c r="A120" s="4">
        <v>121.0</v>
      </c>
      <c r="B120" s="5" t="s">
        <v>150</v>
      </c>
      <c r="C120" s="6" t="s">
        <v>151</v>
      </c>
      <c r="D120" s="14">
        <v>1.0</v>
      </c>
      <c r="E120" s="8" t="str">
        <f>if(C120&lt;&gt;"", VLOOKUP(C120,' สรุปยอด 2'!A:D,4,0),0)</f>
        <v/>
      </c>
      <c r="F120" s="9">
        <f t="shared" si="1"/>
        <v>0</v>
      </c>
      <c r="G120" s="9"/>
    </row>
    <row r="121">
      <c r="A121" s="4">
        <v>122.0</v>
      </c>
      <c r="B121" s="5" t="s">
        <v>150</v>
      </c>
      <c r="C121" s="6" t="s">
        <v>41</v>
      </c>
      <c r="D121" s="14">
        <v>1.0</v>
      </c>
      <c r="E121" s="8">
        <f>if(C121&lt;&gt;"", VLOOKUP(C121,' สรุปยอด 2'!A:D,4,0),0)</f>
        <v>179</v>
      </c>
      <c r="F121" s="9">
        <f t="shared" si="1"/>
        <v>179</v>
      </c>
      <c r="G121" s="9"/>
    </row>
    <row r="122">
      <c r="A122" s="4">
        <v>123.0</v>
      </c>
      <c r="B122" s="5" t="s">
        <v>150</v>
      </c>
      <c r="C122" s="6" t="s">
        <v>152</v>
      </c>
      <c r="D122" s="14">
        <v>1.0</v>
      </c>
      <c r="E122" s="8">
        <f>if(C122&lt;&gt;"", VLOOKUP(C122,' สรุปยอด 2'!A:D,4,0),0)</f>
        <v>1390</v>
      </c>
      <c r="F122" s="9">
        <f t="shared" si="1"/>
        <v>1390</v>
      </c>
      <c r="G122" s="9"/>
    </row>
    <row r="123">
      <c r="A123" s="4">
        <v>124.0</v>
      </c>
      <c r="B123" s="5" t="s">
        <v>96</v>
      </c>
      <c r="C123" s="6" t="s">
        <v>153</v>
      </c>
      <c r="D123" s="14">
        <v>1.0</v>
      </c>
      <c r="E123" s="8">
        <f>if(C123&lt;&gt;"", VLOOKUP(C123,' สรุปยอด 2'!A:D,4,0),0)</f>
        <v>279</v>
      </c>
      <c r="F123" s="9">
        <f t="shared" si="1"/>
        <v>279</v>
      </c>
      <c r="G123" s="9"/>
    </row>
    <row r="124">
      <c r="A124" s="4">
        <v>125.0</v>
      </c>
      <c r="B124" s="5" t="s">
        <v>96</v>
      </c>
      <c r="C124" s="6" t="s">
        <v>21</v>
      </c>
      <c r="D124" s="14">
        <v>2.0</v>
      </c>
      <c r="E124" s="8">
        <f>if(C124&lt;&gt;"", VLOOKUP(C124,' สรุปยอด 2'!A:D,4,0),0)</f>
        <v>85</v>
      </c>
      <c r="F124" s="9">
        <f t="shared" si="1"/>
        <v>170</v>
      </c>
      <c r="G124" s="9"/>
    </row>
    <row r="125">
      <c r="A125" s="4">
        <v>126.0</v>
      </c>
      <c r="B125" s="5" t="s">
        <v>96</v>
      </c>
      <c r="C125" s="6" t="s">
        <v>63</v>
      </c>
      <c r="D125" s="14">
        <v>2.0</v>
      </c>
      <c r="E125" s="8">
        <f>if(C125&lt;&gt;"", VLOOKUP(C125,' สรุปยอด 2'!A:D,4,0),0)</f>
        <v>85</v>
      </c>
      <c r="F125" s="9">
        <f t="shared" si="1"/>
        <v>170</v>
      </c>
      <c r="G125" s="18"/>
    </row>
    <row r="126">
      <c r="A126" s="4">
        <v>127.0</v>
      </c>
      <c r="B126" s="5" t="s">
        <v>8</v>
      </c>
      <c r="C126" s="6" t="s">
        <v>154</v>
      </c>
      <c r="D126" s="14">
        <v>1.0</v>
      </c>
      <c r="E126" s="8">
        <f>if(C126&lt;&gt;"", VLOOKUP(C126,' สรุปยอด 2'!A:D,4,0),0)</f>
        <v>550</v>
      </c>
      <c r="F126" s="9">
        <f t="shared" si="1"/>
        <v>550</v>
      </c>
      <c r="G126" s="18"/>
    </row>
    <row r="127">
      <c r="A127" s="4">
        <v>128.0</v>
      </c>
      <c r="B127" s="5" t="s">
        <v>91</v>
      </c>
      <c r="C127" s="6" t="s">
        <v>155</v>
      </c>
      <c r="D127" s="14">
        <v>1.0</v>
      </c>
      <c r="E127" s="8">
        <f>if(C127&lt;&gt;"", VLOOKUP(C127,' สรุปยอด 2'!A:D,4,0),0)</f>
        <v>749</v>
      </c>
      <c r="F127" s="9">
        <f t="shared" si="1"/>
        <v>749</v>
      </c>
      <c r="G127" s="18"/>
    </row>
    <row r="128">
      <c r="A128" s="4">
        <v>129.0</v>
      </c>
      <c r="B128" s="5" t="s">
        <v>91</v>
      </c>
      <c r="C128" s="6" t="s">
        <v>12</v>
      </c>
      <c r="D128" s="14">
        <v>1.0</v>
      </c>
      <c r="E128" s="8">
        <f>if(C128&lt;&gt;"", VLOOKUP(C128,' สรุปยอด 2'!A:D,4,0),0)</f>
        <v>275</v>
      </c>
      <c r="F128" s="9">
        <f t="shared" si="1"/>
        <v>275</v>
      </c>
      <c r="G128" s="18"/>
    </row>
    <row r="129">
      <c r="A129" s="4">
        <v>130.0</v>
      </c>
      <c r="B129" s="5" t="s">
        <v>156</v>
      </c>
      <c r="C129" s="6" t="s">
        <v>64</v>
      </c>
      <c r="D129" s="14">
        <v>3.0</v>
      </c>
      <c r="E129" s="8">
        <f>if(C129&lt;&gt;"", VLOOKUP(C129,' สรุปยอด 2'!A:D,4,0),0)</f>
        <v>249</v>
      </c>
      <c r="F129" s="9">
        <f t="shared" si="1"/>
        <v>747</v>
      </c>
      <c r="G129" s="18"/>
    </row>
    <row r="130">
      <c r="A130" s="4">
        <v>131.0</v>
      </c>
      <c r="B130" s="5" t="s">
        <v>157</v>
      </c>
      <c r="C130" s="6" t="s">
        <v>158</v>
      </c>
      <c r="D130" s="14">
        <v>1.0</v>
      </c>
      <c r="E130" s="8">
        <f>if(C130&lt;&gt;"", VLOOKUP(C130,' สรุปยอด 2'!A:D,4,0),0)</f>
        <v>1249</v>
      </c>
      <c r="F130" s="9">
        <f t="shared" si="1"/>
        <v>1249</v>
      </c>
      <c r="G130" s="18"/>
    </row>
    <row r="131">
      <c r="A131" s="4">
        <v>132.0</v>
      </c>
      <c r="B131" s="5" t="s">
        <v>157</v>
      </c>
      <c r="C131" s="6" t="s">
        <v>159</v>
      </c>
      <c r="D131" s="14">
        <v>2.0</v>
      </c>
      <c r="E131" s="8">
        <f>if(C131&lt;&gt;"", VLOOKUP(C131,' สรุปยอด 2'!A:D,4,0),0)</f>
        <v>419</v>
      </c>
      <c r="F131" s="9">
        <f t="shared" si="1"/>
        <v>838</v>
      </c>
      <c r="G131" s="18"/>
    </row>
    <row r="132">
      <c r="A132" s="4">
        <v>133.0</v>
      </c>
      <c r="B132" s="5" t="s">
        <v>160</v>
      </c>
      <c r="C132" s="12" t="s">
        <v>161</v>
      </c>
      <c r="D132" s="14">
        <v>1.0</v>
      </c>
      <c r="E132" s="8">
        <f>if(C132&lt;&gt;"", VLOOKUP(C132,' สรุปยอด 2'!A:D,4,0),0)</f>
        <v>479</v>
      </c>
      <c r="F132" s="9">
        <f t="shared" si="1"/>
        <v>479</v>
      </c>
      <c r="G132" s="18"/>
    </row>
    <row r="133">
      <c r="A133" s="4">
        <v>134.0</v>
      </c>
      <c r="B133" s="5" t="s">
        <v>160</v>
      </c>
      <c r="C133" s="6" t="s">
        <v>162</v>
      </c>
      <c r="D133" s="14">
        <v>1.0</v>
      </c>
      <c r="E133" s="8">
        <f>if(C133&lt;&gt;"", VLOOKUP(C133,' สรุปยอด 2'!A:D,4,0),0)</f>
        <v>349</v>
      </c>
      <c r="F133" s="9">
        <f t="shared" si="1"/>
        <v>349</v>
      </c>
      <c r="G133" s="18"/>
    </row>
    <row r="134">
      <c r="A134" s="4">
        <v>135.0</v>
      </c>
      <c r="B134" s="5" t="s">
        <v>133</v>
      </c>
      <c r="C134" s="6" t="s">
        <v>163</v>
      </c>
      <c r="D134" s="14">
        <v>1.0</v>
      </c>
      <c r="E134" s="8">
        <f>if(C134&lt;&gt;"", VLOOKUP(C134,' สรุปยอด 2'!A:D,4,0),0)</f>
        <v>699</v>
      </c>
      <c r="F134" s="9">
        <f t="shared" si="1"/>
        <v>699</v>
      </c>
      <c r="G134" s="18"/>
    </row>
    <row r="135">
      <c r="A135" s="4">
        <v>136.0</v>
      </c>
      <c r="B135" s="5" t="s">
        <v>23</v>
      </c>
      <c r="C135" s="6" t="s">
        <v>158</v>
      </c>
      <c r="D135" s="14">
        <v>1.0</v>
      </c>
      <c r="E135" s="8">
        <f>if(C135&lt;&gt;"", VLOOKUP(C135,' สรุปยอด 2'!A:D,4,0),0)</f>
        <v>1249</v>
      </c>
      <c r="F135" s="9">
        <f t="shared" si="1"/>
        <v>1249</v>
      </c>
      <c r="G135" s="18"/>
    </row>
    <row r="136">
      <c r="A136" s="4">
        <v>137.0</v>
      </c>
      <c r="B136" s="5" t="s">
        <v>164</v>
      </c>
      <c r="C136" s="6" t="s">
        <v>165</v>
      </c>
      <c r="D136" s="14">
        <v>1.0</v>
      </c>
      <c r="E136" s="8">
        <f>if(C136&lt;&gt;"", VLOOKUP(C136,' สรุปยอด 2'!A:D,4,0),0)</f>
        <v>459</v>
      </c>
      <c r="F136" s="9">
        <f t="shared" si="1"/>
        <v>459</v>
      </c>
      <c r="G136" s="18"/>
    </row>
    <row r="137">
      <c r="A137" s="4">
        <v>138.0</v>
      </c>
      <c r="B137" s="5" t="s">
        <v>164</v>
      </c>
      <c r="C137" s="6" t="s">
        <v>166</v>
      </c>
      <c r="D137" s="14">
        <v>1.0</v>
      </c>
      <c r="E137" s="8">
        <f>if(C137&lt;&gt;"", VLOOKUP(C137,' สรุปยอด 2'!A:D,4,0),0)</f>
        <v>629</v>
      </c>
      <c r="F137" s="9">
        <f t="shared" si="1"/>
        <v>629</v>
      </c>
      <c r="G137" s="18"/>
    </row>
    <row r="138">
      <c r="A138" s="4">
        <v>139.0</v>
      </c>
      <c r="B138" s="5" t="s">
        <v>167</v>
      </c>
      <c r="C138" s="6" t="s">
        <v>168</v>
      </c>
      <c r="D138" s="14">
        <v>0.0</v>
      </c>
      <c r="E138" s="8">
        <f>if(C138&lt;&gt;"", VLOOKUP(C138,' สรุปยอด 2'!A:D,4,0),0)</f>
        <v>249</v>
      </c>
      <c r="F138" s="9">
        <f t="shared" si="1"/>
        <v>0</v>
      </c>
      <c r="G138" s="18"/>
    </row>
    <row r="139">
      <c r="A139" s="4">
        <v>140.0</v>
      </c>
      <c r="B139" s="5" t="s">
        <v>167</v>
      </c>
      <c r="C139" s="12" t="s">
        <v>169</v>
      </c>
      <c r="D139" s="14">
        <v>1.0</v>
      </c>
      <c r="E139" s="8">
        <f>if(C139&lt;&gt;"", VLOOKUP(C139,' สรุปยอด 2'!A:D,4,0),0)</f>
        <v>159</v>
      </c>
      <c r="F139" s="9">
        <f t="shared" si="1"/>
        <v>159</v>
      </c>
      <c r="G139" s="18"/>
    </row>
    <row r="140">
      <c r="A140" s="4">
        <v>141.0</v>
      </c>
      <c r="B140" s="5" t="s">
        <v>167</v>
      </c>
      <c r="C140" s="6" t="s">
        <v>170</v>
      </c>
      <c r="D140" s="14">
        <v>1.0</v>
      </c>
      <c r="E140" s="8">
        <f>if(C140&lt;&gt;"", VLOOKUP(C140,' สรุปยอด 2'!A:D,4,0),0)</f>
        <v>159</v>
      </c>
      <c r="F140" s="9">
        <f t="shared" si="1"/>
        <v>159</v>
      </c>
      <c r="G140" s="18"/>
    </row>
    <row r="141">
      <c r="A141" s="4">
        <v>142.0</v>
      </c>
      <c r="B141" s="5" t="s">
        <v>167</v>
      </c>
      <c r="C141" s="6" t="s">
        <v>171</v>
      </c>
      <c r="D141" s="14">
        <v>1.0</v>
      </c>
      <c r="E141" s="8">
        <f>if(C141&lt;&gt;"", VLOOKUP(C141,' สรุปยอด 2'!A:D,4,0),0)</f>
        <v>129</v>
      </c>
      <c r="F141" s="9">
        <f t="shared" si="1"/>
        <v>129</v>
      </c>
      <c r="G141" s="18"/>
    </row>
    <row r="142">
      <c r="A142" s="4">
        <v>143.0</v>
      </c>
      <c r="B142" s="5" t="s">
        <v>167</v>
      </c>
      <c r="C142" s="6" t="s">
        <v>172</v>
      </c>
      <c r="D142" s="14">
        <v>1.0</v>
      </c>
      <c r="E142" s="8">
        <f>if(C142&lt;&gt;"", VLOOKUP(C142,' สรุปยอด 2'!A:D,4,0),0)</f>
        <v>149</v>
      </c>
      <c r="F142" s="9">
        <f t="shared" si="1"/>
        <v>149</v>
      </c>
      <c r="G142" s="18"/>
    </row>
    <row r="143">
      <c r="A143" s="4">
        <v>144.0</v>
      </c>
      <c r="B143" s="5" t="s">
        <v>167</v>
      </c>
      <c r="C143" s="6" t="s">
        <v>173</v>
      </c>
      <c r="D143" s="14">
        <v>1.0</v>
      </c>
      <c r="E143" s="8">
        <f>if(C143&lt;&gt;"", VLOOKUP(C143,' สรุปยอด 2'!A:D,4,0),0)</f>
        <v>149</v>
      </c>
      <c r="F143" s="9">
        <f t="shared" si="1"/>
        <v>149</v>
      </c>
      <c r="G143" s="18"/>
    </row>
    <row r="144">
      <c r="A144" s="4">
        <v>145.0</v>
      </c>
      <c r="B144" s="5" t="s">
        <v>167</v>
      </c>
      <c r="C144" s="6" t="s">
        <v>174</v>
      </c>
      <c r="D144" s="14">
        <v>2.0</v>
      </c>
      <c r="E144" s="8">
        <f>if(C144&lt;&gt;"", VLOOKUP(C144,' สรุปยอด 2'!A:D,4,0),0)</f>
        <v>109</v>
      </c>
      <c r="F144" s="9">
        <f t="shared" si="1"/>
        <v>218</v>
      </c>
      <c r="G144" s="18"/>
    </row>
    <row r="145">
      <c r="A145" s="4">
        <v>146.0</v>
      </c>
      <c r="B145" s="5" t="s">
        <v>60</v>
      </c>
      <c r="C145" s="6" t="s">
        <v>175</v>
      </c>
      <c r="D145" s="14">
        <v>1.0</v>
      </c>
      <c r="E145" s="8">
        <f>if(C145&lt;&gt;"", VLOOKUP(C145,' สรุปยอด 2'!A:D,4,0),0)</f>
        <v>750</v>
      </c>
      <c r="F145" s="9">
        <f t="shared" si="1"/>
        <v>750</v>
      </c>
      <c r="G145" s="18"/>
    </row>
    <row r="146">
      <c r="A146" s="4">
        <v>147.0</v>
      </c>
      <c r="B146" s="5" t="s">
        <v>60</v>
      </c>
      <c r="C146" s="6" t="s">
        <v>176</v>
      </c>
      <c r="D146" s="14">
        <v>1.0</v>
      </c>
      <c r="E146" s="8">
        <f>if(C146&lt;&gt;"", VLOOKUP(C146,' สรุปยอด 2'!A:D,4,0),0)</f>
        <v>750</v>
      </c>
      <c r="F146" s="9">
        <f t="shared" si="1"/>
        <v>750</v>
      </c>
      <c r="G146" s="18"/>
    </row>
    <row r="147">
      <c r="A147" s="4">
        <v>148.0</v>
      </c>
      <c r="B147" s="5" t="s">
        <v>177</v>
      </c>
      <c r="C147" s="6" t="s">
        <v>178</v>
      </c>
      <c r="D147" s="14">
        <v>5.0</v>
      </c>
      <c r="E147" s="8">
        <f>if(C147&lt;&gt;"", VLOOKUP(C147,' สรุปยอด 2'!A:D,4,0),0)</f>
        <v>145</v>
      </c>
      <c r="F147" s="9">
        <f t="shared" si="1"/>
        <v>725</v>
      </c>
      <c r="G147" s="18"/>
    </row>
    <row r="148">
      <c r="A148" s="4">
        <v>149.0</v>
      </c>
      <c r="B148" s="5" t="s">
        <v>179</v>
      </c>
      <c r="C148" s="6" t="s">
        <v>166</v>
      </c>
      <c r="D148" s="14">
        <v>1.0</v>
      </c>
      <c r="E148" s="8">
        <f>if(C148&lt;&gt;"", VLOOKUP(C148,' สรุปยอด 2'!A:D,4,0),0)</f>
        <v>629</v>
      </c>
      <c r="F148" s="9">
        <f t="shared" si="1"/>
        <v>629</v>
      </c>
      <c r="G148" s="18"/>
    </row>
    <row r="149">
      <c r="A149" s="4">
        <v>150.0</v>
      </c>
      <c r="B149" s="5" t="s">
        <v>179</v>
      </c>
      <c r="C149" s="6" t="s">
        <v>180</v>
      </c>
      <c r="D149" s="14">
        <v>1.0</v>
      </c>
      <c r="E149" s="8">
        <f>if(C149&lt;&gt;"", VLOOKUP(C149,' สรุปยอด 2'!A:D,4,0),0)</f>
        <v>659</v>
      </c>
      <c r="F149" s="9">
        <f t="shared" si="1"/>
        <v>659</v>
      </c>
      <c r="G149" s="18"/>
    </row>
    <row r="150">
      <c r="A150" s="4">
        <v>151.0</v>
      </c>
      <c r="B150" s="5" t="s">
        <v>179</v>
      </c>
      <c r="C150" s="12" t="s">
        <v>181</v>
      </c>
      <c r="D150" s="14">
        <v>1.0</v>
      </c>
      <c r="E150" s="8">
        <f>if(C150&lt;&gt;"", VLOOKUP(C150,' สรุปยอด 2'!A:D,4,0),0)</f>
        <v>729</v>
      </c>
      <c r="F150" s="9">
        <f t="shared" si="1"/>
        <v>729</v>
      </c>
      <c r="G150" s="18"/>
    </row>
    <row r="151">
      <c r="A151" s="4">
        <v>152.0</v>
      </c>
      <c r="B151" s="5" t="s">
        <v>179</v>
      </c>
      <c r="C151" s="12" t="s">
        <v>182</v>
      </c>
      <c r="D151" s="14">
        <v>1.0</v>
      </c>
      <c r="E151" s="8">
        <f>if(C151&lt;&gt;"", VLOOKUP(C151,' สรุปยอด 2'!A:D,4,0),0)</f>
        <v>699</v>
      </c>
      <c r="F151" s="9">
        <f t="shared" si="1"/>
        <v>699</v>
      </c>
      <c r="G151" s="18"/>
    </row>
    <row r="152">
      <c r="A152" s="4">
        <v>153.0</v>
      </c>
      <c r="B152" s="5" t="s">
        <v>18</v>
      </c>
      <c r="C152" s="6" t="s">
        <v>183</v>
      </c>
      <c r="D152" s="14">
        <v>3.0</v>
      </c>
      <c r="E152" s="8">
        <f>if(C152&lt;&gt;"", VLOOKUP(C152,' สรุปยอด 2'!A:D,4,0),0)</f>
        <v>50</v>
      </c>
      <c r="F152" s="9">
        <f t="shared" si="1"/>
        <v>150</v>
      </c>
      <c r="G152" s="18"/>
    </row>
    <row r="153">
      <c r="A153" s="4">
        <v>154.0</v>
      </c>
      <c r="B153" s="5" t="s">
        <v>184</v>
      </c>
      <c r="C153" s="6" t="s">
        <v>124</v>
      </c>
      <c r="D153" s="14">
        <v>2.0</v>
      </c>
      <c r="E153" s="8">
        <f>if(C153&lt;&gt;"", VLOOKUP(C153,' สรุปยอด 2'!A:D,4,0),0)</f>
        <v>205</v>
      </c>
      <c r="F153" s="9">
        <f t="shared" si="1"/>
        <v>410</v>
      </c>
      <c r="G153" s="18"/>
    </row>
    <row r="154">
      <c r="A154" s="4">
        <v>155.0</v>
      </c>
      <c r="B154" s="5" t="s">
        <v>184</v>
      </c>
      <c r="C154" s="6" t="s">
        <v>185</v>
      </c>
      <c r="D154" s="14">
        <v>2.0</v>
      </c>
      <c r="E154" s="8">
        <f>if(C154&lt;&gt;"", VLOOKUP(C154,' สรุปยอด 2'!A:D,4,0),0)</f>
        <v>205</v>
      </c>
      <c r="F154" s="9">
        <f t="shared" si="1"/>
        <v>410</v>
      </c>
      <c r="G154" s="18"/>
    </row>
    <row r="155">
      <c r="A155" s="4">
        <v>156.0</v>
      </c>
      <c r="B155" s="5" t="s">
        <v>186</v>
      </c>
      <c r="C155" s="6" t="s">
        <v>187</v>
      </c>
      <c r="D155" s="14">
        <v>1.0</v>
      </c>
      <c r="E155" s="8">
        <f>if(C155&lt;&gt;"", VLOOKUP(C155,' สรุปยอด 2'!A:D,4,0),0)</f>
        <v>1350</v>
      </c>
      <c r="F155" s="9">
        <f t="shared" si="1"/>
        <v>1350</v>
      </c>
      <c r="G155" s="18"/>
    </row>
    <row r="156">
      <c r="A156" s="4">
        <v>157.0</v>
      </c>
      <c r="B156" s="5" t="s">
        <v>186</v>
      </c>
      <c r="C156" s="6" t="s">
        <v>188</v>
      </c>
      <c r="D156" s="14">
        <v>1.0</v>
      </c>
      <c r="E156" s="8">
        <f>if(C156&lt;&gt;"", VLOOKUP(C156,' สรุปยอด 2'!A:D,4,0),0)</f>
        <v>1750</v>
      </c>
      <c r="F156" s="9">
        <f t="shared" si="1"/>
        <v>1750</v>
      </c>
      <c r="G156" s="18"/>
    </row>
    <row r="157">
      <c r="A157" s="4">
        <v>158.0</v>
      </c>
      <c r="B157" s="5" t="s">
        <v>186</v>
      </c>
      <c r="C157" s="6" t="s">
        <v>189</v>
      </c>
      <c r="D157" s="14">
        <v>1.0</v>
      </c>
      <c r="E157" s="8">
        <f>if(C157&lt;&gt;"", VLOOKUP(C157,' สรุปยอด 2'!A:D,4,0),0)</f>
        <v>1650</v>
      </c>
      <c r="F157" s="9">
        <f t="shared" si="1"/>
        <v>1650</v>
      </c>
      <c r="G157" s="18"/>
    </row>
    <row r="158">
      <c r="A158" s="4">
        <v>159.0</v>
      </c>
      <c r="B158" s="5" t="s">
        <v>164</v>
      </c>
      <c r="C158" s="6" t="s">
        <v>90</v>
      </c>
      <c r="D158" s="14">
        <v>1.0</v>
      </c>
      <c r="E158" s="8">
        <f>if(C158&lt;&gt;"", VLOOKUP(C158,' สรุปยอด 2'!A:D,4,0),0)</f>
        <v>299</v>
      </c>
      <c r="F158" s="9">
        <f t="shared" si="1"/>
        <v>299</v>
      </c>
      <c r="G158" s="18"/>
    </row>
    <row r="159">
      <c r="A159" s="4">
        <v>160.0</v>
      </c>
      <c r="B159" s="5" t="s">
        <v>57</v>
      </c>
      <c r="C159" s="6" t="s">
        <v>90</v>
      </c>
      <c r="D159" s="14">
        <v>2.0</v>
      </c>
      <c r="E159" s="8">
        <f>if(C159&lt;&gt;"", VLOOKUP(C159,' สรุปยอด 2'!A:D,4,0),0)</f>
        <v>299</v>
      </c>
      <c r="F159" s="9">
        <f t="shared" si="1"/>
        <v>598</v>
      </c>
      <c r="G159" s="18"/>
    </row>
    <row r="160">
      <c r="A160" s="4">
        <v>161.0</v>
      </c>
      <c r="B160" s="5" t="s">
        <v>57</v>
      </c>
      <c r="C160" s="19" t="s">
        <v>190</v>
      </c>
      <c r="D160" s="14">
        <v>1.0</v>
      </c>
      <c r="E160" s="8">
        <f>if(C160&lt;&gt;"", VLOOKUP(C160,' สรุปยอด 2'!A:D,4,0),0)</f>
        <v>819</v>
      </c>
      <c r="F160" s="9">
        <f t="shared" si="1"/>
        <v>819</v>
      </c>
      <c r="G160" s="18"/>
    </row>
    <row r="161">
      <c r="A161" s="4">
        <v>162.0</v>
      </c>
      <c r="B161" s="5" t="s">
        <v>57</v>
      </c>
      <c r="C161" s="19" t="s">
        <v>191</v>
      </c>
      <c r="D161" s="14">
        <v>1.0</v>
      </c>
      <c r="E161" s="8">
        <f>if(C161&lt;&gt;"", VLOOKUP(C161,' สรุปยอด 2'!A:D,4,0),0)</f>
        <v>990</v>
      </c>
      <c r="F161" s="9">
        <f t="shared" si="1"/>
        <v>990</v>
      </c>
      <c r="G161" s="18"/>
    </row>
    <row r="162">
      <c r="A162" s="4">
        <v>163.0</v>
      </c>
      <c r="B162" s="5" t="s">
        <v>57</v>
      </c>
      <c r="C162" s="12" t="s">
        <v>192</v>
      </c>
      <c r="D162" s="14">
        <v>1.0</v>
      </c>
      <c r="E162" s="8">
        <f>if(C162&lt;&gt;"", VLOOKUP(C162,' สรุปยอด 2'!A:D,4,0),0)</f>
        <v>1590</v>
      </c>
      <c r="F162" s="9">
        <f t="shared" si="1"/>
        <v>1590</v>
      </c>
      <c r="G162" s="18"/>
    </row>
    <row r="163">
      <c r="A163" s="4">
        <v>164.0</v>
      </c>
      <c r="B163" s="5" t="s">
        <v>26</v>
      </c>
      <c r="C163" s="12" t="s">
        <v>193</v>
      </c>
      <c r="D163" s="14">
        <v>2.0</v>
      </c>
      <c r="E163" s="8">
        <f>if(C163&lt;&gt;"", VLOOKUP(C163,' สรุปยอด 2'!A:D,4,0),0)</f>
        <v>219</v>
      </c>
      <c r="F163" s="9">
        <f t="shared" si="1"/>
        <v>438</v>
      </c>
      <c r="G163" s="18"/>
    </row>
    <row r="164">
      <c r="A164" s="4">
        <v>165.0</v>
      </c>
      <c r="B164" s="5" t="s">
        <v>26</v>
      </c>
      <c r="C164" s="12" t="s">
        <v>194</v>
      </c>
      <c r="D164" s="14">
        <v>1.0</v>
      </c>
      <c r="E164" s="8">
        <f>if(C164&lt;&gt;"", VLOOKUP(C164,' สรุปยอด 2'!A:D,4,0),0)</f>
        <v>239</v>
      </c>
      <c r="F164" s="9">
        <f t="shared" si="1"/>
        <v>239</v>
      </c>
      <c r="G164" s="18"/>
    </row>
    <row r="165">
      <c r="A165" s="4">
        <v>166.0</v>
      </c>
      <c r="B165" s="5" t="s">
        <v>195</v>
      </c>
      <c r="C165" s="12" t="s">
        <v>196</v>
      </c>
      <c r="D165" s="14">
        <v>1.0</v>
      </c>
      <c r="E165" s="8">
        <f>if(C165&lt;&gt;"", VLOOKUP(C165,' สรุปยอด 2'!A:D,4,0),0)</f>
        <v>149</v>
      </c>
      <c r="F165" s="9">
        <f t="shared" si="1"/>
        <v>149</v>
      </c>
      <c r="G165" s="18"/>
    </row>
    <row r="166">
      <c r="A166" s="4">
        <v>167.0</v>
      </c>
      <c r="B166" s="5" t="s">
        <v>100</v>
      </c>
      <c r="C166" s="12" t="s">
        <v>197</v>
      </c>
      <c r="D166" s="14">
        <v>1.0</v>
      </c>
      <c r="E166" s="8">
        <f>if(C166&lt;&gt;"", VLOOKUP(C166,' สรุปยอด 2'!A:D,4,0),0)</f>
        <v>129</v>
      </c>
      <c r="F166" s="9">
        <f t="shared" si="1"/>
        <v>129</v>
      </c>
      <c r="G166" s="18"/>
    </row>
    <row r="167">
      <c r="A167" s="4">
        <v>168.0</v>
      </c>
      <c r="B167" s="5" t="s">
        <v>198</v>
      </c>
      <c r="C167" s="6" t="s">
        <v>199</v>
      </c>
      <c r="D167" s="14">
        <v>2.0</v>
      </c>
      <c r="E167" s="8">
        <f>if(C167&lt;&gt;"", VLOOKUP(C167,' สรุปยอด 2'!A:D,4,0),0)</f>
        <v>459</v>
      </c>
      <c r="F167" s="9">
        <f t="shared" si="1"/>
        <v>918</v>
      </c>
      <c r="G167" s="18"/>
    </row>
    <row r="168">
      <c r="A168" s="4">
        <v>169.0</v>
      </c>
      <c r="B168" s="5" t="s">
        <v>200</v>
      </c>
      <c r="C168" s="6" t="s">
        <v>199</v>
      </c>
      <c r="D168" s="14">
        <v>1.0</v>
      </c>
      <c r="E168" s="8">
        <f>if(C168&lt;&gt;"", VLOOKUP(C168,' สรุปยอด 2'!A:D,4,0),0)</f>
        <v>459</v>
      </c>
      <c r="F168" s="9">
        <f t="shared" si="1"/>
        <v>459</v>
      </c>
      <c r="G168" s="18"/>
    </row>
    <row r="169">
      <c r="A169" s="4">
        <v>170.0</v>
      </c>
      <c r="B169" s="11" t="s">
        <v>30</v>
      </c>
      <c r="C169" s="12" t="s">
        <v>201</v>
      </c>
      <c r="D169" s="14">
        <v>2.0</v>
      </c>
      <c r="E169" s="8">
        <f>if(C169&lt;&gt;"", VLOOKUP(C169,' สรุปยอด 2'!A:D,4,0),0)</f>
        <v>139</v>
      </c>
      <c r="F169" s="9">
        <f t="shared" si="1"/>
        <v>278</v>
      </c>
      <c r="G169" s="18"/>
    </row>
    <row r="170">
      <c r="A170" s="4">
        <v>171.0</v>
      </c>
      <c r="B170" s="11" t="s">
        <v>30</v>
      </c>
      <c r="C170" s="12" t="s">
        <v>159</v>
      </c>
      <c r="D170" s="14">
        <v>1.0</v>
      </c>
      <c r="E170" s="8">
        <f>if(C170&lt;&gt;"", VLOOKUP(C170,' สรุปยอด 2'!A:D,4,0),0)</f>
        <v>419</v>
      </c>
      <c r="F170" s="9">
        <f t="shared" si="1"/>
        <v>419</v>
      </c>
      <c r="G170" s="18"/>
    </row>
    <row r="171">
      <c r="A171" s="4">
        <v>172.0</v>
      </c>
      <c r="B171" s="5" t="s">
        <v>202</v>
      </c>
      <c r="C171" s="12" t="s">
        <v>161</v>
      </c>
      <c r="D171" s="14">
        <v>1.0</v>
      </c>
      <c r="E171" s="8">
        <f>if(C171&lt;&gt;"", VLOOKUP(C171,' สรุปยอด 2'!A:D,4,0),0)</f>
        <v>479</v>
      </c>
      <c r="F171" s="9">
        <f t="shared" si="1"/>
        <v>479</v>
      </c>
      <c r="G171" s="18"/>
    </row>
    <row r="172">
      <c r="A172" s="4">
        <v>173.0</v>
      </c>
      <c r="B172" s="5" t="s">
        <v>202</v>
      </c>
      <c r="C172" s="6" t="s">
        <v>203</v>
      </c>
      <c r="D172" s="14">
        <v>1.0</v>
      </c>
      <c r="E172" s="8">
        <f>if(C172&lt;&gt;"", VLOOKUP(C172,' สรุปยอด 2'!A:D,4,0),0)</f>
        <v>579</v>
      </c>
      <c r="F172" s="9">
        <f t="shared" si="1"/>
        <v>579</v>
      </c>
      <c r="G172" s="18"/>
    </row>
    <row r="173">
      <c r="A173" s="4">
        <v>174.0</v>
      </c>
      <c r="B173" s="5" t="s">
        <v>202</v>
      </c>
      <c r="C173" s="6" t="s">
        <v>204</v>
      </c>
      <c r="D173" s="14">
        <v>1.0</v>
      </c>
      <c r="E173" s="8">
        <f>if(C173&lt;&gt;"", VLOOKUP(C173,' สรุปยอด 2'!A:D,4,0),0)</f>
        <v>349</v>
      </c>
      <c r="F173" s="9">
        <f t="shared" si="1"/>
        <v>349</v>
      </c>
      <c r="G173" s="18"/>
    </row>
    <row r="174">
      <c r="A174" s="4">
        <v>175.0</v>
      </c>
      <c r="B174" s="15" t="s">
        <v>94</v>
      </c>
      <c r="C174" s="6" t="s">
        <v>166</v>
      </c>
      <c r="D174" s="14">
        <v>1.0</v>
      </c>
      <c r="E174" s="8">
        <f>if(C174&lt;&gt;"", VLOOKUP(C174,' สรุปยอด 2'!A:D,4,0),0)</f>
        <v>629</v>
      </c>
      <c r="F174" s="9">
        <f t="shared" si="1"/>
        <v>629</v>
      </c>
      <c r="G174" s="18"/>
    </row>
    <row r="175">
      <c r="A175" s="4">
        <v>176.0</v>
      </c>
      <c r="B175" s="15" t="s">
        <v>94</v>
      </c>
      <c r="C175" s="6" t="s">
        <v>205</v>
      </c>
      <c r="D175" s="14">
        <v>1.0</v>
      </c>
      <c r="E175" s="8">
        <f>if(C175&lt;&gt;"", VLOOKUP(C175,' สรุปยอด 2'!A:D,4,0),0)</f>
        <v>219</v>
      </c>
      <c r="F175" s="9">
        <f t="shared" si="1"/>
        <v>219</v>
      </c>
      <c r="G175" s="18"/>
    </row>
    <row r="176">
      <c r="A176" s="4">
        <v>177.0</v>
      </c>
      <c r="B176" s="5" t="s">
        <v>206</v>
      </c>
      <c r="C176" s="6" t="s">
        <v>12</v>
      </c>
      <c r="D176" s="14">
        <v>1.0</v>
      </c>
      <c r="E176" s="8">
        <f>if(C176&lt;&gt;"", VLOOKUP(C176,' สรุปยอด 2'!A:D,4,0),0)</f>
        <v>275</v>
      </c>
      <c r="F176" s="9">
        <f t="shared" si="1"/>
        <v>275</v>
      </c>
      <c r="G176" s="18"/>
    </row>
    <row r="177">
      <c r="A177" s="4">
        <v>178.0</v>
      </c>
      <c r="B177" s="5" t="s">
        <v>207</v>
      </c>
      <c r="C177" s="6" t="s">
        <v>208</v>
      </c>
      <c r="D177" s="14">
        <v>1.0</v>
      </c>
      <c r="E177" s="8">
        <f>if(C177&lt;&gt;"", VLOOKUP(C177,' สรุปยอด 2'!A:D,4,0),0)</f>
        <v>829</v>
      </c>
      <c r="F177" s="9">
        <f t="shared" si="1"/>
        <v>829</v>
      </c>
      <c r="G177" s="18"/>
    </row>
    <row r="178">
      <c r="A178" s="4">
        <v>179.0</v>
      </c>
      <c r="B178" s="5" t="s">
        <v>209</v>
      </c>
      <c r="C178" s="6" t="s">
        <v>12</v>
      </c>
      <c r="D178" s="14">
        <v>1.0</v>
      </c>
      <c r="E178" s="8">
        <f>if(C178&lt;&gt;"", VLOOKUP(C178,' สรุปยอด 2'!A:D,4,0),0)</f>
        <v>275</v>
      </c>
      <c r="F178" s="9">
        <f t="shared" si="1"/>
        <v>275</v>
      </c>
      <c r="G178" s="18"/>
    </row>
    <row r="179">
      <c r="A179" s="4">
        <v>180.0</v>
      </c>
      <c r="B179" s="5" t="s">
        <v>209</v>
      </c>
      <c r="C179" s="6" t="s">
        <v>38</v>
      </c>
      <c r="D179" s="14">
        <v>1.0</v>
      </c>
      <c r="E179" s="8">
        <f>if(C179&lt;&gt;"", VLOOKUP(C179,' สรุปยอด 2'!A:D,4,0),0)</f>
        <v>305</v>
      </c>
      <c r="F179" s="9">
        <f t="shared" si="1"/>
        <v>305</v>
      </c>
      <c r="G179" s="18"/>
    </row>
    <row r="180">
      <c r="A180" s="4">
        <v>181.0</v>
      </c>
      <c r="B180" s="5" t="s">
        <v>210</v>
      </c>
      <c r="C180" s="6" t="s">
        <v>211</v>
      </c>
      <c r="D180" s="14">
        <v>1.0</v>
      </c>
      <c r="E180" s="8">
        <f>if(C180&lt;&gt;"", VLOOKUP(C180,' สรุปยอด 2'!A:D,4,0),0)</f>
        <v>179</v>
      </c>
      <c r="F180" s="9">
        <f t="shared" si="1"/>
        <v>179</v>
      </c>
      <c r="G180" s="18"/>
    </row>
    <row r="181">
      <c r="A181" s="4">
        <v>182.0</v>
      </c>
      <c r="B181" s="5" t="s">
        <v>8</v>
      </c>
      <c r="C181" s="6" t="s">
        <v>212</v>
      </c>
      <c r="D181" s="14">
        <v>1.0</v>
      </c>
      <c r="E181" s="8">
        <f>if(C181&lt;&gt;"", VLOOKUP(C181,' สรุปยอด 2'!A:D,4,0),0)</f>
        <v>219</v>
      </c>
      <c r="F181" s="9">
        <f t="shared" si="1"/>
        <v>219</v>
      </c>
      <c r="G181" s="18"/>
    </row>
    <row r="182">
      <c r="A182" s="4">
        <v>183.0</v>
      </c>
      <c r="B182" s="5" t="s">
        <v>8</v>
      </c>
      <c r="C182" s="6" t="s">
        <v>213</v>
      </c>
      <c r="D182" s="14">
        <v>2.0</v>
      </c>
      <c r="E182" s="8">
        <f>if(C182&lt;&gt;"", VLOOKUP(C182,' สรุปยอด 2'!A:D,4,0),0)</f>
        <v>219</v>
      </c>
      <c r="F182" s="9">
        <f t="shared" si="1"/>
        <v>438</v>
      </c>
      <c r="G182" s="18"/>
    </row>
    <row r="183">
      <c r="A183" s="4">
        <v>184.0</v>
      </c>
      <c r="B183" s="5" t="s">
        <v>94</v>
      </c>
      <c r="C183" s="6" t="s">
        <v>99</v>
      </c>
      <c r="D183" s="14">
        <v>2.0</v>
      </c>
      <c r="E183" s="8">
        <f>if(C183&lt;&gt;"", VLOOKUP(C183,' สรุปยอด 2'!A:D,4,0),0)</f>
        <v>79</v>
      </c>
      <c r="F183" s="9">
        <f t="shared" si="1"/>
        <v>158</v>
      </c>
      <c r="G183" s="18"/>
    </row>
    <row r="184">
      <c r="A184" s="4">
        <v>185.0</v>
      </c>
      <c r="B184" s="5" t="s">
        <v>214</v>
      </c>
      <c r="C184" s="6" t="s">
        <v>215</v>
      </c>
      <c r="D184" s="14">
        <v>1.0</v>
      </c>
      <c r="E184" s="8">
        <f>if(C184&lt;&gt;"", VLOOKUP(C184,' สรุปยอด 2'!A:D,4,0),0)</f>
        <v>379</v>
      </c>
      <c r="F184" s="9">
        <f t="shared" si="1"/>
        <v>379</v>
      </c>
      <c r="G184" s="18"/>
    </row>
    <row r="185">
      <c r="A185" s="4">
        <v>186.0</v>
      </c>
      <c r="B185" s="5" t="s">
        <v>100</v>
      </c>
      <c r="C185" s="6" t="s">
        <v>216</v>
      </c>
      <c r="D185" s="14">
        <v>2.0</v>
      </c>
      <c r="E185" s="8">
        <f>if(C185&lt;&gt;"", VLOOKUP(C185,' สรุปยอด 2'!A:D,4,0),0)</f>
        <v>459</v>
      </c>
      <c r="F185" s="9">
        <f t="shared" si="1"/>
        <v>918</v>
      </c>
      <c r="G185" s="18"/>
    </row>
    <row r="186">
      <c r="A186" s="4">
        <v>187.0</v>
      </c>
      <c r="B186" s="5" t="s">
        <v>100</v>
      </c>
      <c r="C186" s="6" t="s">
        <v>217</v>
      </c>
      <c r="D186" s="14">
        <v>0.0</v>
      </c>
      <c r="E186" s="8" t="str">
        <f>if(C186&lt;&gt;"", VLOOKUP(C186,' สรุปยอด 2'!A:D,4,0),0)</f>
        <v/>
      </c>
      <c r="F186" s="9">
        <f t="shared" si="1"/>
        <v>0</v>
      </c>
      <c r="G186" s="18"/>
    </row>
    <row r="187">
      <c r="A187" s="4">
        <v>188.0</v>
      </c>
      <c r="B187" s="5" t="s">
        <v>100</v>
      </c>
      <c r="C187" s="17" t="s">
        <v>218</v>
      </c>
      <c r="D187" s="14">
        <v>1.0</v>
      </c>
      <c r="E187" s="8">
        <f>if(C187&lt;&gt;"", VLOOKUP(C187,' สรุปยอด 2'!A:D,4,0),0)</f>
        <v>95</v>
      </c>
      <c r="F187" s="9">
        <f t="shared" si="1"/>
        <v>95</v>
      </c>
      <c r="G187" s="18"/>
    </row>
    <row r="188">
      <c r="A188" s="4">
        <v>189.0</v>
      </c>
      <c r="B188" s="5" t="s">
        <v>100</v>
      </c>
      <c r="C188" s="6" t="s">
        <v>219</v>
      </c>
      <c r="D188" s="14">
        <v>2.0</v>
      </c>
      <c r="E188" s="8">
        <f>if(C188&lt;&gt;"", VLOOKUP(C188,' สรุปยอด 2'!A:D,4,0),0)</f>
        <v>279</v>
      </c>
      <c r="F188" s="9">
        <f t="shared" si="1"/>
        <v>558</v>
      </c>
      <c r="G188" s="18"/>
    </row>
    <row r="189">
      <c r="A189" s="4">
        <v>190.0</v>
      </c>
      <c r="B189" s="5" t="s">
        <v>220</v>
      </c>
      <c r="C189" s="6" t="s">
        <v>221</v>
      </c>
      <c r="D189" s="14">
        <v>1.0</v>
      </c>
      <c r="E189" s="8">
        <f>if(C189&lt;&gt;"", VLOOKUP(C189,' สรุปยอด 2'!A:D,4,0),0)</f>
        <v>179</v>
      </c>
      <c r="F189" s="9">
        <f t="shared" si="1"/>
        <v>179</v>
      </c>
      <c r="G189" s="18"/>
    </row>
    <row r="190">
      <c r="A190" s="4">
        <v>191.0</v>
      </c>
      <c r="B190" s="5" t="s">
        <v>222</v>
      </c>
      <c r="C190" s="6" t="s">
        <v>223</v>
      </c>
      <c r="D190" s="14">
        <v>1.0</v>
      </c>
      <c r="E190" s="8">
        <f>if(C190&lt;&gt;"", VLOOKUP(C190,' สรุปยอด 2'!A:D,4,0),0)</f>
        <v>299</v>
      </c>
      <c r="F190" s="9">
        <f t="shared" si="1"/>
        <v>299</v>
      </c>
      <c r="G190" s="18"/>
    </row>
    <row r="191">
      <c r="A191" s="4">
        <v>192.0</v>
      </c>
      <c r="B191" s="5" t="s">
        <v>108</v>
      </c>
      <c r="C191" s="6" t="s">
        <v>224</v>
      </c>
      <c r="D191" s="14">
        <v>2.0</v>
      </c>
      <c r="E191" s="8">
        <f>if(C191&lt;&gt;"", VLOOKUP(C191,' สรุปยอด 2'!A:D,4,0),0)</f>
        <v>65</v>
      </c>
      <c r="F191" s="9">
        <f t="shared" si="1"/>
        <v>130</v>
      </c>
      <c r="G191" s="18"/>
    </row>
    <row r="192">
      <c r="A192" s="4">
        <v>193.0</v>
      </c>
      <c r="B192" s="5" t="s">
        <v>167</v>
      </c>
      <c r="C192" s="6" t="s">
        <v>225</v>
      </c>
      <c r="D192" s="14">
        <v>1.0</v>
      </c>
      <c r="E192" s="8">
        <f>if(C192&lt;&gt;"", VLOOKUP(C192,' สรุปยอด 2'!A:D,4,0),0)</f>
        <v>159</v>
      </c>
      <c r="F192" s="9">
        <f t="shared" si="1"/>
        <v>159</v>
      </c>
      <c r="G192" s="18"/>
    </row>
    <row r="193">
      <c r="A193" s="4">
        <v>194.0</v>
      </c>
      <c r="B193" s="5" t="s">
        <v>167</v>
      </c>
      <c r="C193" s="6" t="s">
        <v>226</v>
      </c>
      <c r="D193" s="14">
        <v>1.0</v>
      </c>
      <c r="E193" s="8">
        <f>if(C193&lt;&gt;"", VLOOKUP(C193,' สรุปยอด 2'!A:D,4,0),0)</f>
        <v>149</v>
      </c>
      <c r="F193" s="9">
        <f t="shared" si="1"/>
        <v>149</v>
      </c>
      <c r="G193" s="18"/>
    </row>
    <row r="194">
      <c r="A194" s="4">
        <v>195.0</v>
      </c>
      <c r="B194" s="5" t="s">
        <v>167</v>
      </c>
      <c r="C194" s="6" t="s">
        <v>227</v>
      </c>
      <c r="D194" s="14">
        <v>3.0</v>
      </c>
      <c r="E194" s="8">
        <f>if(C194&lt;&gt;"", VLOOKUP(C194,' สรุปยอด 2'!A:D,4,0),0)</f>
        <v>129</v>
      </c>
      <c r="F194" s="9">
        <f t="shared" si="1"/>
        <v>387</v>
      </c>
      <c r="G194" s="18"/>
    </row>
    <row r="195">
      <c r="A195" s="4">
        <v>196.0</v>
      </c>
      <c r="B195" s="5" t="s">
        <v>167</v>
      </c>
      <c r="C195" s="6" t="s">
        <v>228</v>
      </c>
      <c r="D195" s="14">
        <v>1.0</v>
      </c>
      <c r="E195" s="8">
        <f>if(C195&lt;&gt;"", VLOOKUP(C195,' สรุปยอด 2'!A:D,4,0),0)</f>
        <v>129</v>
      </c>
      <c r="F195" s="9">
        <f t="shared" si="1"/>
        <v>129</v>
      </c>
      <c r="G195" s="18"/>
    </row>
    <row r="196">
      <c r="A196" s="4">
        <v>197.0</v>
      </c>
      <c r="B196" s="5" t="s">
        <v>202</v>
      </c>
      <c r="C196" s="6" t="s">
        <v>229</v>
      </c>
      <c r="D196" s="14">
        <v>1.0</v>
      </c>
      <c r="E196" s="8">
        <f>if(C196&lt;&gt;"", VLOOKUP(C196,' สรุปยอด 2'!A:D,4,0),0)</f>
        <v>59</v>
      </c>
      <c r="F196" s="9">
        <f t="shared" si="1"/>
        <v>59</v>
      </c>
      <c r="G196" s="18"/>
    </row>
    <row r="197">
      <c r="A197" s="4">
        <v>198.0</v>
      </c>
      <c r="B197" s="5" t="s">
        <v>202</v>
      </c>
      <c r="C197" s="6" t="s">
        <v>230</v>
      </c>
      <c r="D197" s="14">
        <v>1.0</v>
      </c>
      <c r="E197" s="8">
        <f>if(C197&lt;&gt;"", VLOOKUP(C197,' สรุปยอด 2'!A:D,4,0),0)</f>
        <v>49</v>
      </c>
      <c r="F197" s="9">
        <f t="shared" si="1"/>
        <v>49</v>
      </c>
      <c r="G197" s="18"/>
    </row>
    <row r="198">
      <c r="A198" s="4">
        <v>199.0</v>
      </c>
      <c r="B198" s="5" t="s">
        <v>94</v>
      </c>
      <c r="C198" s="6" t="s">
        <v>231</v>
      </c>
      <c r="D198" s="14">
        <v>1.0</v>
      </c>
      <c r="E198" s="8">
        <f>if(C198&lt;&gt;"", VLOOKUP(C198,' สรุปยอด 2'!A:D,4,0),0)</f>
        <v>849</v>
      </c>
      <c r="F198" s="9">
        <f t="shared" si="1"/>
        <v>849</v>
      </c>
      <c r="G198" s="18"/>
    </row>
    <row r="199">
      <c r="A199" s="4">
        <v>200.0</v>
      </c>
      <c r="B199" s="5" t="s">
        <v>44</v>
      </c>
      <c r="C199" s="6" t="s">
        <v>232</v>
      </c>
      <c r="D199" s="14">
        <v>4.0</v>
      </c>
      <c r="E199" s="8">
        <f>if(C199&lt;&gt;"", VLOOKUP(C199,' สรุปยอด 2'!A:D,4,0),0)</f>
        <v>49</v>
      </c>
      <c r="F199" s="9">
        <f t="shared" si="1"/>
        <v>196</v>
      </c>
      <c r="G199" s="18"/>
    </row>
    <row r="200">
      <c r="A200" s="4">
        <v>201.0</v>
      </c>
      <c r="B200" s="5" t="s">
        <v>44</v>
      </c>
      <c r="C200" s="6" t="s">
        <v>233</v>
      </c>
      <c r="D200" s="14">
        <v>1.0</v>
      </c>
      <c r="E200" s="8">
        <f>if(C200&lt;&gt;"", VLOOKUP(C200,' สรุปยอด 2'!A:D,4,0),0)</f>
        <v>59</v>
      </c>
      <c r="F200" s="9">
        <f t="shared" si="1"/>
        <v>59</v>
      </c>
      <c r="G200" s="18"/>
    </row>
    <row r="201">
      <c r="A201" s="4">
        <v>202.0</v>
      </c>
      <c r="B201" s="5" t="s">
        <v>44</v>
      </c>
      <c r="C201" s="6" t="s">
        <v>205</v>
      </c>
      <c r="D201" s="14">
        <v>1.0</v>
      </c>
      <c r="E201" s="8">
        <f>if(C201&lt;&gt;"", VLOOKUP(C201,' สรุปยอด 2'!A:D,4,0),0)</f>
        <v>219</v>
      </c>
      <c r="F201" s="9">
        <f t="shared" si="1"/>
        <v>219</v>
      </c>
      <c r="G201" s="18"/>
    </row>
    <row r="202">
      <c r="A202" s="4">
        <v>203.0</v>
      </c>
      <c r="B202" s="5" t="s">
        <v>11</v>
      </c>
      <c r="C202" s="6" t="s">
        <v>63</v>
      </c>
      <c r="D202" s="14">
        <v>4.0</v>
      </c>
      <c r="E202" s="8">
        <f>if(C202&lt;&gt;"", VLOOKUP(C202,' สรุปยอด 2'!A:D,4,0),0)</f>
        <v>85</v>
      </c>
      <c r="F202" s="9">
        <f t="shared" si="1"/>
        <v>340</v>
      </c>
      <c r="G202" s="18"/>
    </row>
    <row r="203">
      <c r="A203" s="4">
        <v>204.0</v>
      </c>
      <c r="B203" s="5" t="s">
        <v>18</v>
      </c>
      <c r="C203" s="6" t="s">
        <v>234</v>
      </c>
      <c r="D203" s="14">
        <v>1.0</v>
      </c>
      <c r="E203" s="8">
        <f>if(C203&lt;&gt;"", VLOOKUP(C203,' สรุปยอด 2'!A:D,4,0),0)</f>
        <v>59</v>
      </c>
      <c r="F203" s="9">
        <f t="shared" si="1"/>
        <v>59</v>
      </c>
      <c r="G203" s="18"/>
    </row>
    <row r="204">
      <c r="A204" s="4">
        <v>205.0</v>
      </c>
      <c r="B204" s="5" t="s">
        <v>85</v>
      </c>
      <c r="C204" s="6" t="s">
        <v>235</v>
      </c>
      <c r="D204" s="14">
        <v>2.0</v>
      </c>
      <c r="E204" s="8">
        <f>if(C204&lt;&gt;"", VLOOKUP(C204,' สรุปยอด 2'!A:D,4,0),0)</f>
        <v>45</v>
      </c>
      <c r="F204" s="9">
        <f t="shared" si="1"/>
        <v>90</v>
      </c>
      <c r="G204" s="18"/>
    </row>
    <row r="205">
      <c r="A205" s="4">
        <v>206.0</v>
      </c>
      <c r="B205" s="5" t="s">
        <v>85</v>
      </c>
      <c r="C205" s="6" t="s">
        <v>236</v>
      </c>
      <c r="D205" s="14">
        <v>2.0</v>
      </c>
      <c r="E205" s="8">
        <f>if(C205&lt;&gt;"", VLOOKUP(C205,' สรุปยอด 2'!A:D,4,0),0)</f>
        <v>49</v>
      </c>
      <c r="F205" s="9">
        <f t="shared" si="1"/>
        <v>98</v>
      </c>
      <c r="G205" s="18"/>
    </row>
    <row r="206">
      <c r="A206" s="4">
        <v>207.0</v>
      </c>
      <c r="B206" s="5" t="s">
        <v>207</v>
      </c>
      <c r="C206" s="6" t="s">
        <v>237</v>
      </c>
      <c r="D206" s="14">
        <v>4.0</v>
      </c>
      <c r="E206" s="8">
        <f>if(C206&lt;&gt;"", VLOOKUP(C206,' สรุปยอด 2'!A:D,4,0),0)</f>
        <v>79</v>
      </c>
      <c r="F206" s="9">
        <f t="shared" si="1"/>
        <v>316</v>
      </c>
      <c r="G206" s="18"/>
    </row>
    <row r="207">
      <c r="A207" s="4">
        <v>208.0</v>
      </c>
      <c r="B207" s="5" t="s">
        <v>238</v>
      </c>
      <c r="C207" s="6" t="s">
        <v>82</v>
      </c>
      <c r="D207" s="14">
        <v>1.0</v>
      </c>
      <c r="E207" s="8">
        <f>if(C207&lt;&gt;"", VLOOKUP(C207,' สรุปยอด 2'!A:D,4,0),0)</f>
        <v>579</v>
      </c>
      <c r="F207" s="9">
        <f t="shared" si="1"/>
        <v>579</v>
      </c>
      <c r="G207" s="18"/>
    </row>
    <row r="208">
      <c r="A208" s="4">
        <v>209.0</v>
      </c>
      <c r="B208" s="5" t="s">
        <v>195</v>
      </c>
      <c r="C208" s="6" t="s">
        <v>239</v>
      </c>
      <c r="D208" s="14">
        <v>1.0</v>
      </c>
      <c r="E208" s="8">
        <f>if(C208&lt;&gt;"", VLOOKUP(C208,' สรุปยอด 2'!A:D,4,0),0)</f>
        <v>149</v>
      </c>
      <c r="F208" s="9">
        <f t="shared" si="1"/>
        <v>149</v>
      </c>
      <c r="G208" s="18"/>
    </row>
    <row r="209">
      <c r="A209" s="4">
        <v>210.0</v>
      </c>
      <c r="B209" s="5" t="s">
        <v>137</v>
      </c>
      <c r="C209" s="6" t="s">
        <v>240</v>
      </c>
      <c r="D209" s="14">
        <v>1.0</v>
      </c>
      <c r="E209" s="8">
        <f>if(C209&lt;&gt;"", VLOOKUP(C209,' สรุปยอด 2'!A:D,4,0),0)</f>
        <v>145</v>
      </c>
      <c r="F209" s="9">
        <f t="shared" si="1"/>
        <v>145</v>
      </c>
      <c r="G209" s="18"/>
    </row>
    <row r="210">
      <c r="A210" s="4">
        <v>211.0</v>
      </c>
      <c r="B210" s="5" t="s">
        <v>39</v>
      </c>
      <c r="C210" s="6" t="s">
        <v>241</v>
      </c>
      <c r="D210" s="14">
        <v>1.0</v>
      </c>
      <c r="E210" s="8">
        <f>if(C210&lt;&gt;"", VLOOKUP(C210,' สรุปยอด 2'!A:D,4,0),0)</f>
        <v>349</v>
      </c>
      <c r="F210" s="9">
        <f t="shared" si="1"/>
        <v>349</v>
      </c>
      <c r="G210" s="18"/>
    </row>
    <row r="211">
      <c r="A211" s="4">
        <v>212.0</v>
      </c>
      <c r="B211" s="5" t="s">
        <v>39</v>
      </c>
      <c r="C211" s="6" t="s">
        <v>242</v>
      </c>
      <c r="D211" s="14">
        <v>1.0</v>
      </c>
      <c r="E211" s="8">
        <f>if(C211&lt;&gt;"", VLOOKUP(C211,' สรุปยอด 2'!A:D,4,0),0)</f>
        <v>499</v>
      </c>
      <c r="F211" s="9">
        <f t="shared" si="1"/>
        <v>499</v>
      </c>
      <c r="G211" s="18"/>
    </row>
    <row r="212">
      <c r="A212" s="4">
        <v>213.0</v>
      </c>
      <c r="B212" s="5" t="s">
        <v>79</v>
      </c>
      <c r="C212" s="6" t="s">
        <v>90</v>
      </c>
      <c r="D212" s="14">
        <v>1.0</v>
      </c>
      <c r="E212" s="8">
        <f>if(C212&lt;&gt;"", VLOOKUP(C212,' สรุปยอด 2'!A:D,4,0),0)</f>
        <v>299</v>
      </c>
      <c r="F212" s="9">
        <f t="shared" si="1"/>
        <v>299</v>
      </c>
      <c r="G212" s="18"/>
    </row>
    <row r="213">
      <c r="A213" s="4">
        <v>214.0</v>
      </c>
      <c r="B213" s="5" t="s">
        <v>79</v>
      </c>
      <c r="C213" s="6" t="s">
        <v>243</v>
      </c>
      <c r="D213" s="14">
        <v>2.0</v>
      </c>
      <c r="E213" s="8">
        <f>if(C213&lt;&gt;"", VLOOKUP(C213,' สรุปยอด 2'!A:D,4,0),0)</f>
        <v>319</v>
      </c>
      <c r="F213" s="9">
        <f t="shared" si="1"/>
        <v>638</v>
      </c>
      <c r="G213" s="18"/>
    </row>
    <row r="214">
      <c r="A214" s="4">
        <v>215.0</v>
      </c>
      <c r="B214" s="5" t="s">
        <v>79</v>
      </c>
      <c r="C214" s="6" t="s">
        <v>244</v>
      </c>
      <c r="D214" s="14">
        <v>3.0</v>
      </c>
      <c r="E214" s="8">
        <f>if(C214&lt;&gt;"", VLOOKUP(C214,' สรุปยอด 2'!A:D,4,0),0)</f>
        <v>579</v>
      </c>
      <c r="F214" s="9">
        <f t="shared" si="1"/>
        <v>1737</v>
      </c>
      <c r="G214" s="18"/>
    </row>
    <row r="215">
      <c r="A215" s="4">
        <v>216.0</v>
      </c>
      <c r="B215" s="5" t="s">
        <v>24</v>
      </c>
      <c r="C215" s="20" t="s">
        <v>245</v>
      </c>
      <c r="D215" s="21">
        <v>1.0</v>
      </c>
      <c r="E215" s="8">
        <f>if(C215&lt;&gt;"", VLOOKUP(C215,' สรุปยอด 2'!A:D,4,0),0)</f>
        <v>849</v>
      </c>
      <c r="F215" s="9">
        <f>E215*D214</f>
        <v>2547</v>
      </c>
      <c r="G215" s="18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</row>
    <row r="216">
      <c r="A216" s="5">
        <v>217.0</v>
      </c>
      <c r="B216" s="5" t="s">
        <v>24</v>
      </c>
      <c r="C216" s="6" t="s">
        <v>246</v>
      </c>
      <c r="D216" s="14">
        <v>7.0</v>
      </c>
      <c r="E216" s="8">
        <f>if(C216&lt;&gt;"", VLOOKUP(C216,' สรุปยอด 2'!A:D,4,0),0)</f>
        <v>85</v>
      </c>
      <c r="F216" s="9">
        <f t="shared" ref="F216:F225" si="2">E216*D216</f>
        <v>595</v>
      </c>
      <c r="G216" s="18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</row>
    <row r="217" ht="18.75" customHeight="1">
      <c r="A217" s="4">
        <v>218.0</v>
      </c>
      <c r="B217" s="5" t="s">
        <v>24</v>
      </c>
      <c r="C217" s="6" t="s">
        <v>247</v>
      </c>
      <c r="D217" s="14">
        <v>1.0</v>
      </c>
      <c r="E217" s="8">
        <f>if(C217&lt;&gt;"", VLOOKUP(C217,' สรุปยอด 2'!A:D,4,0),0)</f>
        <v>115</v>
      </c>
      <c r="F217" s="9">
        <f t="shared" si="2"/>
        <v>115</v>
      </c>
      <c r="G217" s="18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</row>
    <row r="218">
      <c r="A218" s="4">
        <v>219.0</v>
      </c>
      <c r="B218" s="5" t="s">
        <v>24</v>
      </c>
      <c r="C218" s="6" t="s">
        <v>248</v>
      </c>
      <c r="D218" s="14">
        <v>1.0</v>
      </c>
      <c r="E218" s="8">
        <f>if(C218&lt;&gt;"", VLOOKUP(C218,' สรุปยอด 2'!A:D,4,0),0)</f>
        <v>199</v>
      </c>
      <c r="F218" s="9">
        <f t="shared" si="2"/>
        <v>199</v>
      </c>
      <c r="G218" s="18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</row>
    <row r="219">
      <c r="A219" s="4">
        <v>220.0</v>
      </c>
      <c r="B219" s="5" t="s">
        <v>24</v>
      </c>
      <c r="C219" s="6" t="s">
        <v>249</v>
      </c>
      <c r="D219" s="14">
        <v>1.0</v>
      </c>
      <c r="E219" s="8">
        <f>if(C219&lt;&gt;"", VLOOKUP(C219,' สรุปยอด 2'!A:D,4,0),0)</f>
        <v>205</v>
      </c>
      <c r="F219" s="9">
        <f t="shared" si="2"/>
        <v>205</v>
      </c>
      <c r="G219" s="18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</row>
    <row r="220">
      <c r="A220" s="4">
        <v>221.0</v>
      </c>
      <c r="B220" s="5" t="s">
        <v>24</v>
      </c>
      <c r="C220" s="6" t="s">
        <v>250</v>
      </c>
      <c r="D220" s="14">
        <v>1.0</v>
      </c>
      <c r="E220" s="8">
        <f>if(C220&lt;&gt;"", VLOOKUP(C220,' สรุปยอด 2'!A:D,4,0),0)</f>
        <v>205</v>
      </c>
      <c r="F220" s="9">
        <f t="shared" si="2"/>
        <v>205</v>
      </c>
      <c r="G220" s="18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</row>
    <row r="221">
      <c r="A221" s="4">
        <v>222.0</v>
      </c>
      <c r="B221" s="5" t="s">
        <v>24</v>
      </c>
      <c r="C221" s="6" t="s">
        <v>251</v>
      </c>
      <c r="D221" s="14">
        <v>1.0</v>
      </c>
      <c r="E221" s="8">
        <f>if(C221&lt;&gt;"", VLOOKUP(C221,' สรุปยอด 2'!A:D,4,0),0)</f>
        <v>205</v>
      </c>
      <c r="F221" s="9">
        <f t="shared" si="2"/>
        <v>205</v>
      </c>
      <c r="G221" s="18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</row>
    <row r="222">
      <c r="A222" s="4">
        <v>223.0</v>
      </c>
      <c r="B222" s="5" t="s">
        <v>28</v>
      </c>
      <c r="C222" s="6" t="s">
        <v>252</v>
      </c>
      <c r="D222" s="14">
        <v>1.0</v>
      </c>
      <c r="E222" s="8">
        <f>if(C222&lt;&gt;"", VLOOKUP(C222,' สรุปยอด 2'!A:D,4,0),0)</f>
        <v>59</v>
      </c>
      <c r="F222" s="9">
        <f t="shared" si="2"/>
        <v>59</v>
      </c>
      <c r="G222" s="18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</row>
    <row r="223">
      <c r="A223" s="4">
        <v>224.0</v>
      </c>
      <c r="B223" s="5" t="s">
        <v>253</v>
      </c>
      <c r="C223" s="6" t="s">
        <v>254</v>
      </c>
      <c r="D223" s="14">
        <v>1.0</v>
      </c>
      <c r="E223" s="8">
        <f>if(C223&lt;&gt;"", VLOOKUP(C223,' สรุปยอด 2'!A:D,4,0),0)</f>
        <v>1190</v>
      </c>
      <c r="F223" s="9">
        <f t="shared" si="2"/>
        <v>1190</v>
      </c>
      <c r="G223" s="18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</row>
    <row r="224">
      <c r="A224" s="4">
        <v>225.0</v>
      </c>
      <c r="B224" s="5" t="s">
        <v>255</v>
      </c>
      <c r="C224" s="6" t="s">
        <v>256</v>
      </c>
      <c r="D224" s="14">
        <v>1.0</v>
      </c>
      <c r="E224" s="8">
        <f>if(C224&lt;&gt;"", VLOOKUP(C224,' สรุปยอด 2'!A:D,4,0),0)</f>
        <v>549</v>
      </c>
      <c r="F224" s="9">
        <f t="shared" si="2"/>
        <v>549</v>
      </c>
      <c r="G224" s="18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</row>
    <row r="225">
      <c r="A225" s="4">
        <v>226.0</v>
      </c>
      <c r="B225" s="5" t="s">
        <v>255</v>
      </c>
      <c r="C225" s="6" t="s">
        <v>257</v>
      </c>
      <c r="D225" s="14">
        <v>1.0</v>
      </c>
      <c r="E225" s="8">
        <f>if(C225&lt;&gt;"", VLOOKUP(C225,' สรุปยอด 2'!A:D,4,0),0)</f>
        <v>85</v>
      </c>
      <c r="F225" s="9">
        <f t="shared" si="2"/>
        <v>85</v>
      </c>
      <c r="G225" s="18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</row>
    <row r="226">
      <c r="A226" s="4">
        <v>227.0</v>
      </c>
      <c r="B226" s="5" t="s">
        <v>255</v>
      </c>
      <c r="C226" s="23" t="s">
        <v>258</v>
      </c>
      <c r="D226" s="7">
        <v>1.0</v>
      </c>
      <c r="E226" s="8">
        <f>if(C226&lt;&gt;"", VLOOKUP(C226,' สรุปยอด 2'!A:D,4,0),0)</f>
        <v>379</v>
      </c>
      <c r="F226" s="9">
        <f>E226*D225</f>
        <v>379</v>
      </c>
      <c r="G226" s="18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</row>
    <row r="227">
      <c r="A227" s="4">
        <v>228.0</v>
      </c>
      <c r="B227" s="5" t="s">
        <v>259</v>
      </c>
      <c r="C227" s="6" t="s">
        <v>260</v>
      </c>
      <c r="D227" s="14">
        <v>2.0</v>
      </c>
      <c r="E227" s="8">
        <f>if(C227&lt;&gt;"", VLOOKUP(C227,' สรุปยอด 2'!A:D,4,0),0)</f>
        <v>199</v>
      </c>
      <c r="F227" s="9">
        <f t="shared" ref="F227:F356" si="3">E227*D227</f>
        <v>398</v>
      </c>
      <c r="G227" s="18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</row>
    <row r="228">
      <c r="A228" s="4">
        <v>229.0</v>
      </c>
      <c r="B228" s="5" t="s">
        <v>259</v>
      </c>
      <c r="C228" s="6" t="s">
        <v>261</v>
      </c>
      <c r="D228" s="14">
        <v>1.0</v>
      </c>
      <c r="E228" s="8">
        <f>if(C228&lt;&gt;"", VLOOKUP(C228,' สรุปยอด 2'!A:D,4,0),0)</f>
        <v>499</v>
      </c>
      <c r="F228" s="9">
        <f t="shared" si="3"/>
        <v>499</v>
      </c>
      <c r="G228" s="18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</row>
    <row r="229">
      <c r="A229" s="4">
        <v>230.0</v>
      </c>
      <c r="B229" s="5" t="s">
        <v>179</v>
      </c>
      <c r="C229" s="6" t="s">
        <v>262</v>
      </c>
      <c r="D229" s="14">
        <v>1.0</v>
      </c>
      <c r="E229" s="8">
        <f>if(C229&lt;&gt;"", VLOOKUP(C229,' สรุปยอด 2'!A:D,4,0),0)</f>
        <v>99</v>
      </c>
      <c r="F229" s="9">
        <f t="shared" si="3"/>
        <v>99</v>
      </c>
      <c r="G229" s="18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</row>
    <row r="230">
      <c r="A230" s="4">
        <v>231.0</v>
      </c>
      <c r="B230" s="5" t="s">
        <v>179</v>
      </c>
      <c r="C230" s="6" t="s">
        <v>263</v>
      </c>
      <c r="D230" s="14">
        <v>1.0</v>
      </c>
      <c r="E230" s="8">
        <f>if(C230&lt;&gt;"", VLOOKUP(C230,' สรุปยอด 2'!A:D,4,0),0)</f>
        <v>99</v>
      </c>
      <c r="F230" s="9">
        <f t="shared" si="3"/>
        <v>99</v>
      </c>
      <c r="G230" s="18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</row>
    <row r="231">
      <c r="A231" s="4">
        <v>232.0</v>
      </c>
      <c r="B231" s="5" t="s">
        <v>179</v>
      </c>
      <c r="C231" s="6" t="s">
        <v>264</v>
      </c>
      <c r="D231" s="14">
        <v>4.0</v>
      </c>
      <c r="E231" s="8">
        <f>if(C231&lt;&gt;"", VLOOKUP(C231,' สรุปยอด 2'!A:D,4,0),0)</f>
        <v>59</v>
      </c>
      <c r="F231" s="9">
        <f t="shared" si="3"/>
        <v>236</v>
      </c>
      <c r="G231" s="18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</row>
    <row r="232">
      <c r="A232" s="4">
        <v>233.0</v>
      </c>
      <c r="B232" s="5" t="s">
        <v>179</v>
      </c>
      <c r="C232" s="6" t="s">
        <v>265</v>
      </c>
      <c r="D232" s="14">
        <v>1.0</v>
      </c>
      <c r="E232" s="8">
        <f>if(C232&lt;&gt;"", VLOOKUP(C232,' สรุปยอด 2'!A:D,4,0),0)</f>
        <v>50</v>
      </c>
      <c r="F232" s="9">
        <f t="shared" si="3"/>
        <v>50</v>
      </c>
      <c r="G232" s="18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</row>
    <row r="233">
      <c r="A233" s="4">
        <v>234.0</v>
      </c>
      <c r="B233" s="5" t="s">
        <v>179</v>
      </c>
      <c r="C233" s="6" t="s">
        <v>266</v>
      </c>
      <c r="D233" s="14">
        <v>1.0</v>
      </c>
      <c r="E233" s="8">
        <f>if(C233&lt;&gt;"", VLOOKUP(C233,' สรุปยอด 2'!A:D,4,0),0)</f>
        <v>55</v>
      </c>
      <c r="F233" s="9">
        <f t="shared" si="3"/>
        <v>55</v>
      </c>
      <c r="G233" s="18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</row>
    <row r="234">
      <c r="A234" s="4">
        <v>235.0</v>
      </c>
      <c r="B234" s="5" t="s">
        <v>179</v>
      </c>
      <c r="C234" s="6" t="s">
        <v>224</v>
      </c>
      <c r="D234" s="14">
        <v>1.0</v>
      </c>
      <c r="E234" s="8">
        <f>if(C234&lt;&gt;"", VLOOKUP(C234,' สรุปยอด 2'!A:D,4,0),0)</f>
        <v>65</v>
      </c>
      <c r="F234" s="9">
        <f t="shared" si="3"/>
        <v>65</v>
      </c>
      <c r="G234" s="18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</row>
    <row r="235">
      <c r="A235" s="4">
        <v>236.0</v>
      </c>
      <c r="B235" s="5" t="s">
        <v>179</v>
      </c>
      <c r="C235" s="6" t="s">
        <v>267</v>
      </c>
      <c r="D235" s="14">
        <v>1.0</v>
      </c>
      <c r="E235" s="8">
        <f>if(C235&lt;&gt;"", VLOOKUP(C235,' สรุปยอด 2'!A:D,4,0),0)</f>
        <v>50</v>
      </c>
      <c r="F235" s="9">
        <f t="shared" si="3"/>
        <v>50</v>
      </c>
      <c r="G235" s="18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</row>
    <row r="236">
      <c r="A236" s="4">
        <v>237.0</v>
      </c>
      <c r="B236" s="5" t="s">
        <v>259</v>
      </c>
      <c r="C236" s="6" t="s">
        <v>268</v>
      </c>
      <c r="D236" s="14">
        <v>1.0</v>
      </c>
      <c r="E236" s="8">
        <f>if(C236&lt;&gt;"", VLOOKUP(C236,' สรุปยอด 2'!A:D,4,0),0)</f>
        <v>349</v>
      </c>
      <c r="F236" s="9">
        <f t="shared" si="3"/>
        <v>349</v>
      </c>
      <c r="G236" s="18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</row>
    <row r="237">
      <c r="A237" s="4">
        <v>238.0</v>
      </c>
      <c r="B237" s="5" t="s">
        <v>269</v>
      </c>
      <c r="C237" s="6" t="s">
        <v>256</v>
      </c>
      <c r="D237" s="14">
        <v>1.0</v>
      </c>
      <c r="E237" s="8">
        <f>if(C237&lt;&gt;"", VLOOKUP(C237,' สรุปยอด 2'!A:D,4,0),0)</f>
        <v>549</v>
      </c>
      <c r="F237" s="9">
        <f t="shared" si="3"/>
        <v>549</v>
      </c>
      <c r="G237" s="18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</row>
    <row r="238">
      <c r="A238" s="4">
        <v>239.0</v>
      </c>
      <c r="B238" s="5" t="s">
        <v>269</v>
      </c>
      <c r="C238" s="6" t="s">
        <v>270</v>
      </c>
      <c r="D238" s="14">
        <v>1.0</v>
      </c>
      <c r="E238" s="8">
        <f>if(C238&lt;&gt;"", VLOOKUP(C238,' สรุปยอด 2'!A:D,4,0),0)</f>
        <v>379</v>
      </c>
      <c r="F238" s="9">
        <f t="shared" si="3"/>
        <v>379</v>
      </c>
      <c r="G238" s="18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</row>
    <row r="239">
      <c r="A239" s="4">
        <v>240.0</v>
      </c>
      <c r="B239" s="5" t="s">
        <v>271</v>
      </c>
      <c r="C239" s="6" t="s">
        <v>262</v>
      </c>
      <c r="D239" s="14">
        <v>1.0</v>
      </c>
      <c r="E239" s="8">
        <f>if(C239&lt;&gt;"", VLOOKUP(C239,' สรุปยอด 2'!A:D,4,0),0)</f>
        <v>99</v>
      </c>
      <c r="F239" s="9">
        <f t="shared" si="3"/>
        <v>99</v>
      </c>
      <c r="G239" s="18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</row>
    <row r="240">
      <c r="A240" s="4">
        <v>241.0</v>
      </c>
      <c r="B240" s="5" t="s">
        <v>271</v>
      </c>
      <c r="C240" s="6" t="s">
        <v>263</v>
      </c>
      <c r="D240" s="14">
        <v>1.0</v>
      </c>
      <c r="E240" s="8">
        <f>if(C240&lt;&gt;"", VLOOKUP(C240,' สรุปยอด 2'!A:D,4,0),0)</f>
        <v>99</v>
      </c>
      <c r="F240" s="9">
        <f t="shared" si="3"/>
        <v>99</v>
      </c>
      <c r="G240" s="18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</row>
    <row r="241">
      <c r="A241" s="4">
        <v>242.0</v>
      </c>
      <c r="B241" s="5" t="s">
        <v>271</v>
      </c>
      <c r="C241" s="6" t="s">
        <v>272</v>
      </c>
      <c r="D241" s="14">
        <v>1.0</v>
      </c>
      <c r="E241" s="8">
        <f>if(C241&lt;&gt;"", VLOOKUP(C241,' สรุปยอด 2'!A:D,4,0),0)</f>
        <v>99</v>
      </c>
      <c r="F241" s="9">
        <f t="shared" si="3"/>
        <v>99</v>
      </c>
      <c r="G241" s="18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</row>
    <row r="242">
      <c r="A242" s="4">
        <v>243.0</v>
      </c>
      <c r="B242" s="5" t="s">
        <v>271</v>
      </c>
      <c r="C242" s="6" t="s">
        <v>273</v>
      </c>
      <c r="D242" s="14">
        <v>1.0</v>
      </c>
      <c r="E242" s="8">
        <f>if(C242&lt;&gt;"", VLOOKUP(C242,' สรุปยอด 2'!A:D,4,0),0)</f>
        <v>99</v>
      </c>
      <c r="F242" s="9">
        <f t="shared" si="3"/>
        <v>99</v>
      </c>
      <c r="G242" s="18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</row>
    <row r="243">
      <c r="A243" s="4">
        <v>244.0</v>
      </c>
      <c r="B243" s="5" t="s">
        <v>271</v>
      </c>
      <c r="C243" s="6" t="s">
        <v>274</v>
      </c>
      <c r="D243" s="14">
        <v>1.0</v>
      </c>
      <c r="E243" s="8">
        <f>if(C243&lt;&gt;"", VLOOKUP(C243,' สรุปยอด 2'!A:D,4,0),0)</f>
        <v>59</v>
      </c>
      <c r="F243" s="9">
        <f t="shared" si="3"/>
        <v>59</v>
      </c>
      <c r="G243" s="18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</row>
    <row r="244">
      <c r="A244" s="4">
        <v>245.0</v>
      </c>
      <c r="B244" s="5" t="s">
        <v>271</v>
      </c>
      <c r="C244" s="6" t="s">
        <v>275</v>
      </c>
      <c r="D244" s="14">
        <v>2.0</v>
      </c>
      <c r="E244" s="8">
        <f>if(C244&lt;&gt;"", VLOOKUP(C244,' สรุปยอด 2'!A:D,4,0),0)</f>
        <v>49</v>
      </c>
      <c r="F244" s="9">
        <f t="shared" si="3"/>
        <v>98</v>
      </c>
      <c r="G244" s="18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</row>
    <row r="245">
      <c r="A245" s="4">
        <v>246.0</v>
      </c>
      <c r="B245" s="5" t="s">
        <v>271</v>
      </c>
      <c r="C245" s="6" t="s">
        <v>276</v>
      </c>
      <c r="D245" s="14">
        <v>1.0</v>
      </c>
      <c r="E245" s="8">
        <f>if(C245&lt;&gt;"", VLOOKUP(C245,' สรุปยอด 2'!A:D,4,0),0)</f>
        <v>379</v>
      </c>
      <c r="F245" s="9">
        <f t="shared" si="3"/>
        <v>379</v>
      </c>
      <c r="G245" s="18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</row>
    <row r="246">
      <c r="A246" s="4">
        <v>247.0</v>
      </c>
      <c r="B246" s="5" t="s">
        <v>30</v>
      </c>
      <c r="C246" s="6" t="s">
        <v>277</v>
      </c>
      <c r="D246" s="14">
        <v>1.0</v>
      </c>
      <c r="E246" s="8">
        <f>if(C246&lt;&gt;"", VLOOKUP(C246,' สรุปยอด 2'!A:D,4,0),0)</f>
        <v>65</v>
      </c>
      <c r="F246" s="9">
        <f t="shared" si="3"/>
        <v>65</v>
      </c>
      <c r="G246" s="9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</row>
    <row r="247">
      <c r="A247" s="4">
        <v>248.0</v>
      </c>
      <c r="B247" s="5" t="s">
        <v>30</v>
      </c>
      <c r="C247" s="6" t="s">
        <v>278</v>
      </c>
      <c r="D247" s="14">
        <v>1.0</v>
      </c>
      <c r="E247" s="8">
        <f>if(C247&lt;&gt;"", VLOOKUP(C247,' สรุปยอด 2'!A:D,4,0),0)</f>
        <v>50</v>
      </c>
      <c r="F247" s="9">
        <f t="shared" si="3"/>
        <v>50</v>
      </c>
      <c r="G247" s="9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</row>
    <row r="248">
      <c r="A248" s="4">
        <v>249.0</v>
      </c>
      <c r="B248" s="5" t="s">
        <v>30</v>
      </c>
      <c r="C248" s="6" t="s">
        <v>75</v>
      </c>
      <c r="D248" s="14">
        <v>4.0</v>
      </c>
      <c r="E248" s="8">
        <f>if(C248&lt;&gt;"", VLOOKUP(C248,' สรุปยอด 2'!A:D,4,0),0)</f>
        <v>50</v>
      </c>
      <c r="F248" s="9">
        <f t="shared" si="3"/>
        <v>200</v>
      </c>
      <c r="G248" s="9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</row>
    <row r="249">
      <c r="A249" s="4">
        <v>250.0</v>
      </c>
      <c r="B249" s="5" t="s">
        <v>30</v>
      </c>
      <c r="C249" s="6" t="s">
        <v>279</v>
      </c>
      <c r="D249" s="14">
        <v>1.0</v>
      </c>
      <c r="E249" s="8">
        <f>if(C249&lt;&gt;"", VLOOKUP(C249,' สรุปยอด 2'!A:D,4,0),0)</f>
        <v>99</v>
      </c>
      <c r="F249" s="9">
        <f t="shared" si="3"/>
        <v>99</v>
      </c>
      <c r="G249" s="9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</row>
    <row r="250">
      <c r="A250" s="4">
        <v>251.0</v>
      </c>
      <c r="B250" s="5" t="s">
        <v>30</v>
      </c>
      <c r="C250" s="6" t="s">
        <v>280</v>
      </c>
      <c r="D250" s="14">
        <v>1.0</v>
      </c>
      <c r="E250" s="8">
        <f>if(C250&lt;&gt;"", VLOOKUP(C250,' สรุปยอด 2'!A:D,4,0),0)</f>
        <v>99</v>
      </c>
      <c r="F250" s="9">
        <f t="shared" si="3"/>
        <v>99</v>
      </c>
      <c r="G250" s="9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</row>
    <row r="251">
      <c r="A251" s="4">
        <v>252.0</v>
      </c>
      <c r="B251" s="5" t="s">
        <v>30</v>
      </c>
      <c r="C251" s="6" t="s">
        <v>281</v>
      </c>
      <c r="D251" s="14">
        <v>1.0</v>
      </c>
      <c r="E251" s="8">
        <f>if(C251&lt;&gt;"", VLOOKUP(C251,' สรุปยอด 2'!A:D,4,0),0)</f>
        <v>99</v>
      </c>
      <c r="F251" s="9">
        <f t="shared" si="3"/>
        <v>99</v>
      </c>
      <c r="G251" s="9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</row>
    <row r="252">
      <c r="A252" s="4">
        <v>253.0</v>
      </c>
      <c r="B252" s="5" t="s">
        <v>30</v>
      </c>
      <c r="C252" s="6" t="s">
        <v>282</v>
      </c>
      <c r="D252" s="14">
        <v>2.0</v>
      </c>
      <c r="E252" s="8">
        <f>if(C252&lt;&gt;"", VLOOKUP(C252,' สรุปยอด 2'!A:D,4,0),0)</f>
        <v>95</v>
      </c>
      <c r="F252" s="9">
        <f t="shared" si="3"/>
        <v>190</v>
      </c>
      <c r="G252" s="9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</row>
    <row r="253">
      <c r="A253" s="4">
        <v>254.0</v>
      </c>
      <c r="B253" s="5" t="s">
        <v>30</v>
      </c>
      <c r="C253" s="6" t="s">
        <v>283</v>
      </c>
      <c r="D253" s="14">
        <v>1.0</v>
      </c>
      <c r="E253" s="8">
        <f>if(C253&lt;&gt;"", VLOOKUP(C253,' สรุปยอด 2'!A:D,4,0),0)</f>
        <v>159</v>
      </c>
      <c r="F253" s="9">
        <f t="shared" si="3"/>
        <v>159</v>
      </c>
      <c r="G253" s="9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</row>
    <row r="254">
      <c r="A254" s="4">
        <v>255.0</v>
      </c>
      <c r="B254" s="5" t="s">
        <v>30</v>
      </c>
      <c r="C254" s="6" t="s">
        <v>284</v>
      </c>
      <c r="D254" s="14">
        <v>2.0</v>
      </c>
      <c r="E254" s="8">
        <f>if(C254&lt;&gt;"", VLOOKUP(C254,' สรุปยอด 2'!A:D,4,0),0)</f>
        <v>59</v>
      </c>
      <c r="F254" s="9">
        <f t="shared" si="3"/>
        <v>118</v>
      </c>
      <c r="G254" s="9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</row>
    <row r="255">
      <c r="A255" s="4">
        <v>256.0</v>
      </c>
      <c r="B255" s="5" t="s">
        <v>30</v>
      </c>
      <c r="C255" s="6" t="s">
        <v>285</v>
      </c>
      <c r="D255" s="14">
        <v>1.0</v>
      </c>
      <c r="E255" s="8">
        <f>if(C255&lt;&gt;"", VLOOKUP(C255,' สรุปยอด 2'!A:D,4,0),0)</f>
        <v>149</v>
      </c>
      <c r="F255" s="9">
        <f t="shared" si="3"/>
        <v>149</v>
      </c>
      <c r="G255" s="9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</row>
    <row r="256">
      <c r="A256" s="4">
        <v>257.0</v>
      </c>
      <c r="B256" s="5" t="s">
        <v>30</v>
      </c>
      <c r="C256" s="6" t="s">
        <v>286</v>
      </c>
      <c r="D256" s="14">
        <v>1.0</v>
      </c>
      <c r="E256" s="8" t="str">
        <f>if(C256&lt;&gt;"", VLOOKUP(C256,' สรุปยอด 2'!A:D,4,0),0)</f>
        <v/>
      </c>
      <c r="F256" s="9">
        <f t="shared" si="3"/>
        <v>0</v>
      </c>
      <c r="G256" s="9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</row>
    <row r="257">
      <c r="A257" s="4">
        <v>258.0</v>
      </c>
      <c r="B257" s="5" t="s">
        <v>30</v>
      </c>
      <c r="C257" s="12" t="s">
        <v>142</v>
      </c>
      <c r="D257" s="14">
        <v>2.0</v>
      </c>
      <c r="E257" s="8">
        <f>if(C257&lt;&gt;"", VLOOKUP(C257,' สรุปยอด 2'!A:D,4,0),0)</f>
        <v>219</v>
      </c>
      <c r="F257" s="9">
        <f t="shared" si="3"/>
        <v>438</v>
      </c>
      <c r="G257" s="9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</row>
    <row r="258">
      <c r="A258" s="4">
        <v>259.0</v>
      </c>
      <c r="B258" s="5" t="s">
        <v>30</v>
      </c>
      <c r="C258" s="6" t="s">
        <v>287</v>
      </c>
      <c r="D258" s="14">
        <v>2.0</v>
      </c>
      <c r="E258" s="8" t="str">
        <f>if(C258&lt;&gt;"", VLOOKUP(C258,' สรุปยอด 2'!A:D,4,0),0)</f>
        <v/>
      </c>
      <c r="F258" s="9">
        <f t="shared" si="3"/>
        <v>0</v>
      </c>
      <c r="G258" s="9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</row>
    <row r="259">
      <c r="A259" s="4">
        <v>260.0</v>
      </c>
      <c r="B259" s="5" t="s">
        <v>30</v>
      </c>
      <c r="C259" s="6" t="s">
        <v>288</v>
      </c>
      <c r="D259" s="14">
        <v>14.0</v>
      </c>
      <c r="E259" s="10">
        <v>249.0</v>
      </c>
      <c r="F259" s="9">
        <f t="shared" si="3"/>
        <v>3486</v>
      </c>
      <c r="G259" s="9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</row>
    <row r="260">
      <c r="A260" s="4">
        <v>261.0</v>
      </c>
      <c r="B260" s="5" t="s">
        <v>30</v>
      </c>
      <c r="C260" s="6" t="s">
        <v>289</v>
      </c>
      <c r="D260" s="14">
        <v>3.0</v>
      </c>
      <c r="E260" s="8" t="str">
        <f>if(C260&lt;&gt;"", VLOOKUP(C260,' สรุปยอด 2'!A:D,4,0),0)</f>
        <v/>
      </c>
      <c r="F260" s="9">
        <f t="shared" si="3"/>
        <v>0</v>
      </c>
      <c r="G260" s="9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</row>
    <row r="261">
      <c r="A261" s="4">
        <v>262.0</v>
      </c>
      <c r="B261" s="5" t="s">
        <v>30</v>
      </c>
      <c r="C261" s="6" t="s">
        <v>290</v>
      </c>
      <c r="D261" s="14">
        <v>2.0</v>
      </c>
      <c r="E261" s="8" t="str">
        <f>if(C261&lt;&gt;"", VLOOKUP(C261,' สรุปยอด 2'!A:D,4,0),0)</f>
        <v/>
      </c>
      <c r="F261" s="9">
        <f t="shared" si="3"/>
        <v>0</v>
      </c>
      <c r="G261" s="9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</row>
    <row r="262">
      <c r="A262" s="4">
        <v>263.0</v>
      </c>
      <c r="B262" s="5" t="s">
        <v>30</v>
      </c>
      <c r="C262" s="6" t="s">
        <v>291</v>
      </c>
      <c r="D262" s="14">
        <v>5.0</v>
      </c>
      <c r="E262" s="8" t="str">
        <f>if(C262&lt;&gt;"", VLOOKUP(C262,' สรุปยอด 2'!A:D,4,0),0)</f>
        <v/>
      </c>
      <c r="F262" s="9">
        <f t="shared" si="3"/>
        <v>0</v>
      </c>
      <c r="G262" s="9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</row>
    <row r="263">
      <c r="A263" s="4">
        <v>264.0</v>
      </c>
      <c r="B263" s="5" t="s">
        <v>74</v>
      </c>
      <c r="C263" s="6" t="s">
        <v>292</v>
      </c>
      <c r="D263" s="14">
        <v>1.0</v>
      </c>
      <c r="E263" s="8">
        <f>if(C263&lt;&gt;"", VLOOKUP(C263,' สรุปยอด 2'!A:D,4,0),0)</f>
        <v>99</v>
      </c>
      <c r="F263" s="9">
        <f t="shared" si="3"/>
        <v>99</v>
      </c>
      <c r="G263" s="9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</row>
    <row r="264">
      <c r="A264" s="4">
        <v>265.0</v>
      </c>
      <c r="B264" s="5" t="s">
        <v>74</v>
      </c>
      <c r="C264" s="6" t="s">
        <v>293</v>
      </c>
      <c r="D264" s="14">
        <v>1.0</v>
      </c>
      <c r="E264" s="8">
        <f>if(C264&lt;&gt;"", VLOOKUP(C264,' สรุปยอด 2'!A:D,4,0),0)</f>
        <v>749</v>
      </c>
      <c r="F264" s="9">
        <f t="shared" si="3"/>
        <v>749</v>
      </c>
      <c r="G264" s="9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</row>
    <row r="265">
      <c r="A265" s="4">
        <v>266.0</v>
      </c>
      <c r="B265" s="5" t="s">
        <v>74</v>
      </c>
      <c r="C265" s="6" t="s">
        <v>294</v>
      </c>
      <c r="D265" s="14">
        <v>1.0</v>
      </c>
      <c r="E265" s="8">
        <f>if(C265&lt;&gt;"", VLOOKUP(C265,' สรุปยอด 2'!A:D,4,0),0)</f>
        <v>499</v>
      </c>
      <c r="F265" s="9">
        <f t="shared" si="3"/>
        <v>499</v>
      </c>
      <c r="G265" s="9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</row>
    <row r="266">
      <c r="A266" s="4">
        <v>267.0</v>
      </c>
      <c r="B266" s="5" t="s">
        <v>74</v>
      </c>
      <c r="C266" s="6" t="s">
        <v>295</v>
      </c>
      <c r="D266" s="14">
        <v>1.0</v>
      </c>
      <c r="E266" s="8">
        <f>if(C266&lt;&gt;"", VLOOKUP(C266,' สรุปยอด 2'!A:D,4,0),0)</f>
        <v>499</v>
      </c>
      <c r="F266" s="9">
        <f t="shared" si="3"/>
        <v>499</v>
      </c>
      <c r="G266" s="9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</row>
    <row r="267">
      <c r="A267" s="4">
        <v>268.0</v>
      </c>
      <c r="B267" s="5" t="s">
        <v>74</v>
      </c>
      <c r="C267" s="6" t="s">
        <v>296</v>
      </c>
      <c r="D267" s="14">
        <v>1.0</v>
      </c>
      <c r="E267" s="8">
        <f>if(C267&lt;&gt;"", VLOOKUP(C267,' สรุปยอด 2'!A:D,4,0),0)</f>
        <v>349</v>
      </c>
      <c r="F267" s="9">
        <f t="shared" si="3"/>
        <v>349</v>
      </c>
      <c r="G267" s="9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</row>
    <row r="268">
      <c r="A268" s="4">
        <v>269.0</v>
      </c>
      <c r="B268" s="5" t="s">
        <v>74</v>
      </c>
      <c r="C268" s="6" t="s">
        <v>130</v>
      </c>
      <c r="D268" s="14">
        <v>1.0</v>
      </c>
      <c r="E268" s="8">
        <f>if(C268&lt;&gt;"", VLOOKUP(C268,' สรุปยอด 2'!A:D,4,0),0)</f>
        <v>245</v>
      </c>
      <c r="F268" s="9">
        <f t="shared" si="3"/>
        <v>245</v>
      </c>
      <c r="G268" s="9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</row>
    <row r="269">
      <c r="A269" s="4">
        <v>270.0</v>
      </c>
      <c r="B269" s="5" t="s">
        <v>297</v>
      </c>
      <c r="C269" s="6" t="s">
        <v>270</v>
      </c>
      <c r="D269" s="14">
        <v>4.0</v>
      </c>
      <c r="E269" s="8">
        <f>if(C269&lt;&gt;"", VLOOKUP(C269,' สรุปยอด 2'!A:D,4,0),0)</f>
        <v>379</v>
      </c>
      <c r="F269" s="9">
        <f t="shared" si="3"/>
        <v>1516</v>
      </c>
      <c r="G269" s="9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</row>
    <row r="270">
      <c r="A270" s="4">
        <v>271.0</v>
      </c>
      <c r="B270" s="5" t="s">
        <v>297</v>
      </c>
      <c r="C270" s="6" t="s">
        <v>298</v>
      </c>
      <c r="D270" s="14">
        <v>1.0</v>
      </c>
      <c r="E270" s="8">
        <f>if(C270&lt;&gt;"", VLOOKUP(C270,' สรุปยอด 2'!A:D,4,0),0)</f>
        <v>359</v>
      </c>
      <c r="F270" s="9">
        <f t="shared" si="3"/>
        <v>359</v>
      </c>
      <c r="G270" s="9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</row>
    <row r="271">
      <c r="A271" s="4">
        <v>272.0</v>
      </c>
      <c r="B271" s="5" t="s">
        <v>297</v>
      </c>
      <c r="C271" s="6" t="s">
        <v>299</v>
      </c>
      <c r="D271" s="14">
        <v>1.0</v>
      </c>
      <c r="E271" s="8">
        <f>if(C271&lt;&gt;"", VLOOKUP(C271,' สรุปยอด 2'!A:D,4,0),0)</f>
        <v>479</v>
      </c>
      <c r="F271" s="9">
        <f t="shared" si="3"/>
        <v>479</v>
      </c>
      <c r="G271" s="9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</row>
    <row r="272">
      <c r="A272" s="4">
        <v>273.0</v>
      </c>
      <c r="B272" s="5" t="s">
        <v>297</v>
      </c>
      <c r="C272" s="6" t="s">
        <v>82</v>
      </c>
      <c r="D272" s="14">
        <v>1.0</v>
      </c>
      <c r="E272" s="8">
        <f>if(C272&lt;&gt;"", VLOOKUP(C272,' สรุปยอด 2'!A:D,4,0),0)</f>
        <v>579</v>
      </c>
      <c r="F272" s="9">
        <f t="shared" si="3"/>
        <v>579</v>
      </c>
      <c r="G272" s="9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</row>
    <row r="273">
      <c r="A273" s="4">
        <v>274.0</v>
      </c>
      <c r="B273" s="5" t="s">
        <v>297</v>
      </c>
      <c r="C273" s="6" t="s">
        <v>300</v>
      </c>
      <c r="D273" s="14">
        <v>1.0</v>
      </c>
      <c r="E273" s="8">
        <f>if(C273&lt;&gt;"", VLOOKUP(C273,' สรุปยอด 2'!A:D,4,0),0)</f>
        <v>379</v>
      </c>
      <c r="F273" s="9">
        <f t="shared" si="3"/>
        <v>379</v>
      </c>
      <c r="G273" s="9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</row>
    <row r="274">
      <c r="A274" s="4">
        <v>275.0</v>
      </c>
      <c r="B274" s="5" t="s">
        <v>297</v>
      </c>
      <c r="C274" s="6" t="s">
        <v>301</v>
      </c>
      <c r="D274" s="14">
        <v>1.0</v>
      </c>
      <c r="E274" s="8">
        <f>if(C274&lt;&gt;"", VLOOKUP(C274,' สรุปยอด 2'!A:D,4,0),0)</f>
        <v>279</v>
      </c>
      <c r="F274" s="9">
        <f t="shared" si="3"/>
        <v>279</v>
      </c>
      <c r="G274" s="9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</row>
    <row r="275">
      <c r="A275" s="4">
        <v>276.0</v>
      </c>
      <c r="B275" s="5" t="s">
        <v>297</v>
      </c>
      <c r="C275" s="6" t="s">
        <v>302</v>
      </c>
      <c r="D275" s="14">
        <v>1.0</v>
      </c>
      <c r="E275" s="8">
        <f>if(C275&lt;&gt;"", VLOOKUP(C275,' สรุปยอด 2'!A:D,4,0),0)</f>
        <v>109</v>
      </c>
      <c r="F275" s="9">
        <f t="shared" si="3"/>
        <v>109</v>
      </c>
      <c r="G275" s="9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</row>
    <row r="276">
      <c r="A276" s="4">
        <v>277.0</v>
      </c>
      <c r="B276" s="5" t="s">
        <v>297</v>
      </c>
      <c r="C276" s="6" t="s">
        <v>303</v>
      </c>
      <c r="D276" s="14">
        <v>1.0</v>
      </c>
      <c r="E276" s="8">
        <f>if(C276&lt;&gt;"", VLOOKUP(C276,' สรุปยอด 2'!A:D,4,0),0)</f>
        <v>699</v>
      </c>
      <c r="F276" s="9">
        <f t="shared" si="3"/>
        <v>699</v>
      </c>
      <c r="G276" s="9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</row>
    <row r="277">
      <c r="A277" s="4">
        <v>278.0</v>
      </c>
      <c r="B277" s="5" t="s">
        <v>297</v>
      </c>
      <c r="C277" s="6" t="s">
        <v>182</v>
      </c>
      <c r="D277" s="14">
        <v>1.0</v>
      </c>
      <c r="E277" s="8">
        <f>if(C277&lt;&gt;"", VLOOKUP(C277,' สรุปยอด 2'!A:D,4,0),0)</f>
        <v>699</v>
      </c>
      <c r="F277" s="9">
        <f t="shared" si="3"/>
        <v>699</v>
      </c>
      <c r="G277" s="9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</row>
    <row r="278">
      <c r="A278" s="4">
        <v>279.0</v>
      </c>
      <c r="B278" s="5" t="s">
        <v>30</v>
      </c>
      <c r="C278" s="6" t="s">
        <v>304</v>
      </c>
      <c r="D278" s="14">
        <v>1.0</v>
      </c>
      <c r="E278" s="8">
        <f>if(C278&lt;&gt;"", VLOOKUP(C278,' สรุปยอด 2'!A:D,4,0),0)</f>
        <v>49</v>
      </c>
      <c r="F278" s="9">
        <f t="shared" si="3"/>
        <v>49</v>
      </c>
      <c r="G278" s="9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</row>
    <row r="279">
      <c r="A279" s="4">
        <v>280.0</v>
      </c>
      <c r="B279" s="5" t="s">
        <v>30</v>
      </c>
      <c r="C279" s="6" t="s">
        <v>305</v>
      </c>
      <c r="D279" s="14">
        <v>1.0</v>
      </c>
      <c r="E279" s="8">
        <f>if(C279&lt;&gt;"", VLOOKUP(C279,' สรุปยอด 2'!A:D,4,0),0)</f>
        <v>59</v>
      </c>
      <c r="F279" s="9">
        <f t="shared" si="3"/>
        <v>59</v>
      </c>
      <c r="G279" s="9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</row>
    <row r="280">
      <c r="A280" s="4">
        <v>281.0</v>
      </c>
      <c r="B280" s="5" t="s">
        <v>30</v>
      </c>
      <c r="C280" s="6" t="s">
        <v>306</v>
      </c>
      <c r="D280" s="14">
        <v>1.0</v>
      </c>
      <c r="E280" s="8">
        <f>if(C280&lt;&gt;"", VLOOKUP(C280,' สรุปยอด 2'!A:D,4,0),0)</f>
        <v>129</v>
      </c>
      <c r="F280" s="9">
        <f t="shared" si="3"/>
        <v>129</v>
      </c>
      <c r="G280" s="9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</row>
    <row r="281">
      <c r="A281" s="4">
        <v>282.0</v>
      </c>
      <c r="B281" s="5" t="s">
        <v>30</v>
      </c>
      <c r="C281" s="6" t="s">
        <v>307</v>
      </c>
      <c r="D281" s="14">
        <v>1.0</v>
      </c>
      <c r="E281" s="8">
        <f>if(C281&lt;&gt;"", VLOOKUP(C281,' สรุปยอด 2'!A:D,4,0),0)</f>
        <v>129</v>
      </c>
      <c r="F281" s="9">
        <f t="shared" si="3"/>
        <v>129</v>
      </c>
      <c r="G281" s="9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</row>
    <row r="282">
      <c r="A282" s="4">
        <v>283.0</v>
      </c>
      <c r="B282" s="5" t="s">
        <v>30</v>
      </c>
      <c r="C282" s="6" t="s">
        <v>308</v>
      </c>
      <c r="D282" s="14">
        <v>3.0</v>
      </c>
      <c r="E282" s="8">
        <f>if(C282&lt;&gt;"", VLOOKUP(C282,' สรุปยอด 2'!A:D,4,0),0)</f>
        <v>79</v>
      </c>
      <c r="F282" s="9">
        <f t="shared" si="3"/>
        <v>237</v>
      </c>
      <c r="G282" s="9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</row>
    <row r="283">
      <c r="A283" s="4">
        <v>284.0</v>
      </c>
      <c r="B283" s="5" t="s">
        <v>30</v>
      </c>
      <c r="C283" s="6" t="s">
        <v>309</v>
      </c>
      <c r="D283" s="14">
        <v>1.0</v>
      </c>
      <c r="E283" s="8">
        <f>if(C283&lt;&gt;"", VLOOKUP(C283,' สรุปยอด 2'!A:D,4,0),0)</f>
        <v>49</v>
      </c>
      <c r="F283" s="9">
        <f t="shared" si="3"/>
        <v>49</v>
      </c>
      <c r="G283" s="9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</row>
    <row r="284">
      <c r="A284" s="4">
        <v>285.0</v>
      </c>
      <c r="B284" s="5" t="s">
        <v>30</v>
      </c>
      <c r="C284" s="6" t="s">
        <v>310</v>
      </c>
      <c r="D284" s="14">
        <v>1.0</v>
      </c>
      <c r="E284" s="8">
        <f>if(C284&lt;&gt;"", VLOOKUP(C284,' สรุปยอด 2'!A:D,4,0),0)</f>
        <v>69</v>
      </c>
      <c r="F284" s="9">
        <f t="shared" si="3"/>
        <v>69</v>
      </c>
      <c r="G284" s="9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</row>
    <row r="285">
      <c r="A285" s="4">
        <v>286.0</v>
      </c>
      <c r="B285" s="5" t="s">
        <v>30</v>
      </c>
      <c r="C285" s="6" t="s">
        <v>311</v>
      </c>
      <c r="D285" s="14">
        <v>1.0</v>
      </c>
      <c r="E285" s="8">
        <f>if(C285&lt;&gt;"", VLOOKUP(C285,' สรุปยอด 2'!A:D,4,0),0)</f>
        <v>59</v>
      </c>
      <c r="F285" s="9">
        <f t="shared" si="3"/>
        <v>59</v>
      </c>
      <c r="G285" s="9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</row>
    <row r="286">
      <c r="A286" s="4">
        <v>287.0</v>
      </c>
      <c r="B286" s="5" t="s">
        <v>30</v>
      </c>
      <c r="C286" s="6" t="s">
        <v>312</v>
      </c>
      <c r="D286" s="14">
        <v>1.0</v>
      </c>
      <c r="E286" s="8">
        <f>if(C286&lt;&gt;"", VLOOKUP(C286,' สรุปยอด 2'!A:D,4,0),0)</f>
        <v>59</v>
      </c>
      <c r="F286" s="9">
        <f t="shared" si="3"/>
        <v>59</v>
      </c>
      <c r="G286" s="9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</row>
    <row r="287">
      <c r="A287" s="4">
        <v>288.0</v>
      </c>
      <c r="B287" s="5" t="s">
        <v>30</v>
      </c>
      <c r="C287" s="6" t="s">
        <v>313</v>
      </c>
      <c r="D287" s="14">
        <v>1.0</v>
      </c>
      <c r="E287" s="8">
        <f>if(C287&lt;&gt;"", VLOOKUP(C287,' สรุปยอด 2'!A:D,4,0),0)</f>
        <v>59</v>
      </c>
      <c r="F287" s="9">
        <f t="shared" si="3"/>
        <v>59</v>
      </c>
      <c r="G287" s="9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</row>
    <row r="288">
      <c r="A288" s="4">
        <v>289.0</v>
      </c>
      <c r="B288" s="5" t="s">
        <v>207</v>
      </c>
      <c r="C288" s="6" t="s">
        <v>313</v>
      </c>
      <c r="D288" s="14">
        <v>2.0</v>
      </c>
      <c r="E288" s="8">
        <f>if(C288&lt;&gt;"", VLOOKUP(C288,' สรุปยอด 2'!A:D,4,0),0)</f>
        <v>59</v>
      </c>
      <c r="F288" s="9">
        <f t="shared" si="3"/>
        <v>118</v>
      </c>
      <c r="G288" s="9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</row>
    <row r="289">
      <c r="A289" s="4">
        <v>290.0</v>
      </c>
      <c r="B289" s="5" t="s">
        <v>314</v>
      </c>
      <c r="C289" s="6" t="s">
        <v>251</v>
      </c>
      <c r="D289" s="14">
        <v>1.0</v>
      </c>
      <c r="E289" s="8">
        <f>if(C289&lt;&gt;"", VLOOKUP(C289,' สรุปยอด 2'!A:D,4,0),0)</f>
        <v>205</v>
      </c>
      <c r="F289" s="9">
        <f t="shared" si="3"/>
        <v>205</v>
      </c>
      <c r="G289" s="9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</row>
    <row r="290">
      <c r="A290" s="4">
        <v>291.0</v>
      </c>
      <c r="B290" s="5" t="s">
        <v>314</v>
      </c>
      <c r="C290" s="6" t="s">
        <v>9</v>
      </c>
      <c r="D290" s="14">
        <v>1.0</v>
      </c>
      <c r="E290" s="8">
        <f>if(C290&lt;&gt;"", VLOOKUP(C290,' สรุปยอด 2'!A:D,4,0),0)</f>
        <v>219</v>
      </c>
      <c r="F290" s="9">
        <f t="shared" si="3"/>
        <v>219</v>
      </c>
      <c r="G290" s="9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</row>
    <row r="291">
      <c r="A291" s="4">
        <v>292.0</v>
      </c>
      <c r="B291" s="5" t="s">
        <v>314</v>
      </c>
      <c r="C291" s="6" t="s">
        <v>282</v>
      </c>
      <c r="D291" s="14">
        <v>1.0</v>
      </c>
      <c r="E291" s="8">
        <f>if(C291&lt;&gt;"", VLOOKUP(C291,' สรุปยอด 2'!A:D,4,0),0)</f>
        <v>95</v>
      </c>
      <c r="F291" s="9">
        <f t="shared" si="3"/>
        <v>95</v>
      </c>
      <c r="G291" s="9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</row>
    <row r="292">
      <c r="A292" s="4">
        <v>293.0</v>
      </c>
      <c r="B292" s="5" t="s">
        <v>314</v>
      </c>
      <c r="C292" s="6" t="s">
        <v>315</v>
      </c>
      <c r="D292" s="14">
        <v>1.0</v>
      </c>
      <c r="E292" s="8">
        <f>if(C292&lt;&gt;"", VLOOKUP(C292,' สรุปยอด 2'!A:D,4,0),0)</f>
        <v>149</v>
      </c>
      <c r="F292" s="9">
        <f t="shared" si="3"/>
        <v>149</v>
      </c>
      <c r="G292" s="9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</row>
    <row r="293">
      <c r="A293" s="4">
        <v>294.0</v>
      </c>
      <c r="B293" s="5" t="s">
        <v>314</v>
      </c>
      <c r="C293" s="6" t="s">
        <v>316</v>
      </c>
      <c r="D293" s="14">
        <v>1.0</v>
      </c>
      <c r="E293" s="8">
        <f>if(C293&lt;&gt;"", VLOOKUP(C293,' สรุปยอด 2'!A:D,4,0),0)</f>
        <v>149</v>
      </c>
      <c r="F293" s="9">
        <f t="shared" si="3"/>
        <v>149</v>
      </c>
      <c r="G293" s="9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</row>
    <row r="294">
      <c r="A294" s="4">
        <v>295.0</v>
      </c>
      <c r="B294" s="5" t="s">
        <v>314</v>
      </c>
      <c r="C294" s="6" t="s">
        <v>317</v>
      </c>
      <c r="D294" s="14">
        <v>1.0</v>
      </c>
      <c r="E294" s="8">
        <f>if(C294&lt;&gt;"", VLOOKUP(C294,' สรุปยอด 2'!A:D,4,0),0)</f>
        <v>319</v>
      </c>
      <c r="F294" s="9">
        <f t="shared" si="3"/>
        <v>319</v>
      </c>
      <c r="G294" s="9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</row>
    <row r="295">
      <c r="A295" s="4">
        <v>296.0</v>
      </c>
      <c r="B295" s="5" t="s">
        <v>314</v>
      </c>
      <c r="C295" s="6" t="s">
        <v>265</v>
      </c>
      <c r="D295" s="14">
        <v>1.0</v>
      </c>
      <c r="E295" s="8">
        <f>if(C295&lt;&gt;"", VLOOKUP(C295,' สรุปยอด 2'!A:D,4,0),0)</f>
        <v>50</v>
      </c>
      <c r="F295" s="9">
        <f t="shared" si="3"/>
        <v>50</v>
      </c>
      <c r="G295" s="9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</row>
    <row r="296">
      <c r="A296" s="4">
        <v>297.0</v>
      </c>
      <c r="B296" s="5" t="s">
        <v>314</v>
      </c>
      <c r="C296" s="6" t="s">
        <v>318</v>
      </c>
      <c r="D296" s="14">
        <v>1.0</v>
      </c>
      <c r="E296" s="8">
        <f>if(C296&lt;&gt;"", VLOOKUP(C296,' สรุปยอด 2'!A:D,4,0),0)</f>
        <v>299</v>
      </c>
      <c r="F296" s="9">
        <f t="shared" si="3"/>
        <v>299</v>
      </c>
      <c r="G296" s="9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</row>
    <row r="297">
      <c r="A297" s="4">
        <v>298.0</v>
      </c>
      <c r="B297" s="5" t="s">
        <v>314</v>
      </c>
      <c r="C297" s="6" t="s">
        <v>319</v>
      </c>
      <c r="D297" s="14">
        <v>1.0</v>
      </c>
      <c r="E297" s="8">
        <f>if(C297&lt;&gt;"", VLOOKUP(C297,' สรุปยอด 2'!A:D,4,0),0)</f>
        <v>279</v>
      </c>
      <c r="F297" s="9">
        <f t="shared" si="3"/>
        <v>279</v>
      </c>
      <c r="G297" s="9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</row>
    <row r="298">
      <c r="A298" s="4">
        <v>299.0</v>
      </c>
      <c r="B298" s="5" t="s">
        <v>314</v>
      </c>
      <c r="C298" s="6" t="s">
        <v>320</v>
      </c>
      <c r="D298" s="14">
        <v>1.0</v>
      </c>
      <c r="E298" s="8">
        <f>if(C298&lt;&gt;"", VLOOKUP(C298,' สรุปยอด 2'!A:D,4,0),0)</f>
        <v>309</v>
      </c>
      <c r="F298" s="9">
        <f t="shared" si="3"/>
        <v>309</v>
      </c>
      <c r="G298" s="9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</row>
    <row r="299">
      <c r="A299" s="4">
        <v>300.0</v>
      </c>
      <c r="B299" s="5" t="s">
        <v>321</v>
      </c>
      <c r="C299" s="6" t="s">
        <v>322</v>
      </c>
      <c r="D299" s="14">
        <v>2.0</v>
      </c>
      <c r="E299" s="8">
        <f>if(C299&lt;&gt;"", VLOOKUP(C299,' สรุปยอด 2'!A:D,4,0),0)</f>
        <v>109</v>
      </c>
      <c r="F299" s="9">
        <f t="shared" si="3"/>
        <v>218</v>
      </c>
      <c r="G299" s="9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</row>
    <row r="300">
      <c r="A300" s="4">
        <v>301.0</v>
      </c>
      <c r="B300" s="5" t="s">
        <v>100</v>
      </c>
      <c r="C300" s="6" t="s">
        <v>323</v>
      </c>
      <c r="D300" s="14">
        <v>1.0</v>
      </c>
      <c r="E300" s="8">
        <f>if(C300&lt;&gt;"", VLOOKUP(C300,' สรุปยอด 2'!A:D,4,0),0)</f>
        <v>299</v>
      </c>
      <c r="F300" s="9">
        <f t="shared" si="3"/>
        <v>299</v>
      </c>
      <c r="G300" s="9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</row>
    <row r="301">
      <c r="A301" s="4">
        <v>302.0</v>
      </c>
      <c r="B301" s="5" t="s">
        <v>156</v>
      </c>
      <c r="C301" s="6" t="s">
        <v>106</v>
      </c>
      <c r="D301" s="14">
        <v>1.0</v>
      </c>
      <c r="E301" s="8">
        <f>if(C301&lt;&gt;"", VLOOKUP(C301,' สรุปยอด 2'!A:D,4,0),0)</f>
        <v>329</v>
      </c>
      <c r="F301" s="9">
        <f t="shared" si="3"/>
        <v>329</v>
      </c>
      <c r="G301" s="9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</row>
    <row r="302">
      <c r="A302" s="4">
        <v>303.0</v>
      </c>
      <c r="B302" s="5" t="s">
        <v>156</v>
      </c>
      <c r="C302" s="6" t="s">
        <v>324</v>
      </c>
      <c r="D302" s="14">
        <v>1.0</v>
      </c>
      <c r="E302" s="8">
        <f>if(C302&lt;&gt;"", VLOOKUP(C302,' สรุปยอด 2'!A:D,4,0),0)</f>
        <v>129</v>
      </c>
      <c r="F302" s="9">
        <f t="shared" si="3"/>
        <v>129</v>
      </c>
      <c r="G302" s="9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</row>
    <row r="303">
      <c r="A303" s="4">
        <v>304.0</v>
      </c>
      <c r="B303" s="5" t="s">
        <v>96</v>
      </c>
      <c r="C303" s="6" t="s">
        <v>325</v>
      </c>
      <c r="D303" s="14">
        <v>1.0</v>
      </c>
      <c r="E303" s="8">
        <f>if(C303&lt;&gt;"", VLOOKUP(C303,' สรุปยอด 2'!A:D,4,0),0)</f>
        <v>95</v>
      </c>
      <c r="F303" s="9">
        <f t="shared" si="3"/>
        <v>95</v>
      </c>
      <c r="G303" s="9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</row>
    <row r="304">
      <c r="A304" s="4">
        <v>305.0</v>
      </c>
      <c r="B304" s="5" t="s">
        <v>57</v>
      </c>
      <c r="C304" s="6" t="s">
        <v>161</v>
      </c>
      <c r="D304" s="14">
        <v>1.0</v>
      </c>
      <c r="E304" s="8">
        <f>if(C304&lt;&gt;"", VLOOKUP(C304,' สรุปยอด 2'!A:D,4,0),0)</f>
        <v>479</v>
      </c>
      <c r="F304" s="9">
        <f t="shared" si="3"/>
        <v>479</v>
      </c>
      <c r="G304" s="9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</row>
    <row r="305">
      <c r="A305" s="4">
        <v>306.0</v>
      </c>
      <c r="B305" s="5" t="s">
        <v>57</v>
      </c>
      <c r="C305" s="6" t="s">
        <v>326</v>
      </c>
      <c r="D305" s="14">
        <v>1.0</v>
      </c>
      <c r="E305" s="8">
        <f>if(C305&lt;&gt;"", VLOOKUP(C305,' สรุปยอด 2'!A:D,4,0),0)</f>
        <v>549</v>
      </c>
      <c r="F305" s="9">
        <f t="shared" si="3"/>
        <v>549</v>
      </c>
      <c r="G305" s="9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</row>
    <row r="306">
      <c r="A306" s="4">
        <v>307.0</v>
      </c>
      <c r="B306" s="5" t="s">
        <v>297</v>
      </c>
      <c r="C306" s="6" t="s">
        <v>327</v>
      </c>
      <c r="D306" s="14">
        <v>1.0</v>
      </c>
      <c r="E306" s="8">
        <f>if(C306&lt;&gt;"", VLOOKUP(C306,' สรุปยอด 2'!A:D,4,0),0)</f>
        <v>459</v>
      </c>
      <c r="F306" s="9">
        <f t="shared" si="3"/>
        <v>459</v>
      </c>
      <c r="G306" s="9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</row>
    <row r="307">
      <c r="A307" s="4">
        <v>308.0</v>
      </c>
      <c r="B307" s="5" t="s">
        <v>297</v>
      </c>
      <c r="C307" s="6" t="s">
        <v>328</v>
      </c>
      <c r="D307" s="14">
        <v>1.0</v>
      </c>
      <c r="E307" s="8">
        <f>if(C307&lt;&gt;"", VLOOKUP(C307,' สรุปยอด 2'!A:D,4,0),0)</f>
        <v>479</v>
      </c>
      <c r="F307" s="9">
        <f t="shared" si="3"/>
        <v>479</v>
      </c>
      <c r="G307" s="9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</row>
    <row r="308">
      <c r="A308" s="4">
        <v>309.0</v>
      </c>
      <c r="B308" s="5" t="s">
        <v>297</v>
      </c>
      <c r="C308" s="6" t="s">
        <v>180</v>
      </c>
      <c r="D308" s="14">
        <v>1.0</v>
      </c>
      <c r="E308" s="8">
        <f>if(C308&lt;&gt;"", VLOOKUP(C308,' สรุปยอด 2'!A:D,4,0),0)</f>
        <v>659</v>
      </c>
      <c r="F308" s="9">
        <f t="shared" si="3"/>
        <v>659</v>
      </c>
      <c r="G308" s="9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</row>
    <row r="309">
      <c r="A309" s="4">
        <v>310.0</v>
      </c>
      <c r="B309" s="5" t="s">
        <v>297</v>
      </c>
      <c r="C309" s="6" t="s">
        <v>329</v>
      </c>
      <c r="D309" s="14">
        <v>1.0</v>
      </c>
      <c r="E309" s="8">
        <f>if(C309&lt;&gt;"", VLOOKUP(C309,' สรุปยอด 2'!A:D,4,0),0)</f>
        <v>129</v>
      </c>
      <c r="F309" s="9">
        <f t="shared" si="3"/>
        <v>129</v>
      </c>
      <c r="G309" s="9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</row>
    <row r="310">
      <c r="A310" s="4">
        <v>311.0</v>
      </c>
      <c r="B310" s="5" t="s">
        <v>297</v>
      </c>
      <c r="C310" s="6" t="s">
        <v>330</v>
      </c>
      <c r="D310" s="14">
        <v>1.0</v>
      </c>
      <c r="E310" s="8">
        <f>if(C310&lt;&gt;"", VLOOKUP(C310,' สรุปยอด 2'!A:D,4,0),0)</f>
        <v>599</v>
      </c>
      <c r="F310" s="9">
        <f t="shared" si="3"/>
        <v>599</v>
      </c>
      <c r="G310" s="9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</row>
    <row r="311">
      <c r="A311" s="4">
        <v>312.0</v>
      </c>
      <c r="B311" s="5" t="s">
        <v>331</v>
      </c>
      <c r="C311" s="6" t="s">
        <v>332</v>
      </c>
      <c r="D311" s="14">
        <v>2.0</v>
      </c>
      <c r="E311" s="8">
        <f>if(C311&lt;&gt;"", VLOOKUP(C311,' สรุปยอด 2'!A:D,4,0),0)</f>
        <v>89</v>
      </c>
      <c r="F311" s="9">
        <f t="shared" si="3"/>
        <v>178</v>
      </c>
      <c r="G311" s="9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</row>
    <row r="312">
      <c r="A312" s="4">
        <v>313.0</v>
      </c>
      <c r="B312" s="5" t="s">
        <v>331</v>
      </c>
      <c r="C312" s="6" t="s">
        <v>333</v>
      </c>
      <c r="D312" s="14">
        <v>2.0</v>
      </c>
      <c r="E312" s="8">
        <f>if(C312&lt;&gt;"", VLOOKUP(C312,' สรุปยอด 2'!A:D,4,0),0)</f>
        <v>89</v>
      </c>
      <c r="F312" s="9">
        <f t="shared" si="3"/>
        <v>178</v>
      </c>
      <c r="G312" s="9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</row>
    <row r="313">
      <c r="A313" s="4">
        <v>314.0</v>
      </c>
      <c r="B313" s="5" t="s">
        <v>331</v>
      </c>
      <c r="C313" s="6" t="s">
        <v>292</v>
      </c>
      <c r="D313" s="14">
        <v>2.0</v>
      </c>
      <c r="E313" s="8">
        <f>if(C313&lt;&gt;"", VLOOKUP(C313,' สรุปยอด 2'!A:D,4,0),0)</f>
        <v>99</v>
      </c>
      <c r="F313" s="9">
        <f t="shared" si="3"/>
        <v>198</v>
      </c>
      <c r="G313" s="9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</row>
    <row r="314">
      <c r="A314" s="4">
        <v>315.0</v>
      </c>
      <c r="B314" s="5" t="s">
        <v>331</v>
      </c>
      <c r="C314" s="6" t="s">
        <v>334</v>
      </c>
      <c r="D314" s="14">
        <v>2.0</v>
      </c>
      <c r="E314" s="8">
        <f>if(C314&lt;&gt;"", VLOOKUP(C314,' สรุปยอด 2'!A:D,4,0),0)</f>
        <v>69</v>
      </c>
      <c r="F314" s="9">
        <f t="shared" si="3"/>
        <v>138</v>
      </c>
      <c r="G314" s="9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</row>
    <row r="315">
      <c r="A315" s="4">
        <v>316.0</v>
      </c>
      <c r="B315" s="5" t="s">
        <v>331</v>
      </c>
      <c r="C315" s="6" t="s">
        <v>335</v>
      </c>
      <c r="D315" s="14">
        <v>2.0</v>
      </c>
      <c r="E315" s="8">
        <f>if(C315&lt;&gt;"", VLOOKUP(C315,' สรุปยอด 2'!A:D,4,0),0)</f>
        <v>69</v>
      </c>
      <c r="F315" s="9">
        <f t="shared" si="3"/>
        <v>138</v>
      </c>
      <c r="G315" s="9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</row>
    <row r="316">
      <c r="A316" s="4">
        <v>317.0</v>
      </c>
      <c r="B316" s="5" t="s">
        <v>331</v>
      </c>
      <c r="C316" s="6" t="s">
        <v>257</v>
      </c>
      <c r="D316" s="14">
        <v>3.0</v>
      </c>
      <c r="E316" s="8">
        <f>if(C316&lt;&gt;"", VLOOKUP(C316,' สรุปยอด 2'!A:D,4,0),0)</f>
        <v>85</v>
      </c>
      <c r="F316" s="9">
        <f t="shared" si="3"/>
        <v>255</v>
      </c>
      <c r="G316" s="9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</row>
    <row r="317">
      <c r="A317" s="4">
        <v>318.0</v>
      </c>
      <c r="B317" s="5" t="s">
        <v>336</v>
      </c>
      <c r="C317" s="6" t="s">
        <v>337</v>
      </c>
      <c r="D317" s="14">
        <v>1.0</v>
      </c>
      <c r="E317" s="8" t="str">
        <f>if(C317&lt;&gt;"", VLOOKUP(C317,' สรุปยอด 2'!A:D,4,0),0)</f>
        <v/>
      </c>
      <c r="F317" s="9">
        <f t="shared" si="3"/>
        <v>0</v>
      </c>
      <c r="G317" s="9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</row>
    <row r="318">
      <c r="A318" s="4">
        <v>319.0</v>
      </c>
      <c r="B318" s="5"/>
      <c r="C318" s="6" t="s">
        <v>338</v>
      </c>
      <c r="D318" s="14">
        <v>2.0</v>
      </c>
      <c r="E318" s="8" t="str">
        <f>if(C318&lt;&gt;"", VLOOKUP(C318,' สรุปยอด 2'!A:D,4,0),0)</f>
        <v/>
      </c>
      <c r="F318" s="9">
        <f t="shared" si="3"/>
        <v>0</v>
      </c>
      <c r="G318" s="9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</row>
    <row r="319">
      <c r="A319" s="4">
        <v>320.0</v>
      </c>
      <c r="B319" s="5"/>
      <c r="C319" s="6" t="s">
        <v>88</v>
      </c>
      <c r="D319" s="14"/>
      <c r="E319" s="8">
        <f>if(C319&lt;&gt;"", VLOOKUP(C319,' สรุปยอด 2'!A:D,4,0),0)</f>
        <v>49</v>
      </c>
      <c r="F319" s="9">
        <f t="shared" si="3"/>
        <v>0</v>
      </c>
      <c r="G319" s="9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</row>
    <row r="320">
      <c r="A320" s="4">
        <v>321.0</v>
      </c>
      <c r="B320" s="5"/>
      <c r="C320" s="6" t="s">
        <v>251</v>
      </c>
      <c r="D320" s="14"/>
      <c r="E320" s="8">
        <f>if(C320&lt;&gt;"", VLOOKUP(C320,' สรุปยอด 2'!A:D,4,0),0)</f>
        <v>205</v>
      </c>
      <c r="F320" s="9">
        <f t="shared" si="3"/>
        <v>0</v>
      </c>
      <c r="G320" s="9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</row>
    <row r="321">
      <c r="A321" s="4">
        <v>322.0</v>
      </c>
      <c r="B321" s="5"/>
      <c r="C321" s="6" t="s">
        <v>339</v>
      </c>
      <c r="D321" s="14"/>
      <c r="E321" s="8">
        <f>if(C321&lt;&gt;"", VLOOKUP(C321,' สรุปยอด 2'!A:D,4,0),0)</f>
        <v>205</v>
      </c>
      <c r="F321" s="9">
        <f t="shared" si="3"/>
        <v>0</v>
      </c>
      <c r="G321" s="9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</row>
    <row r="322">
      <c r="A322" s="4">
        <v>323.0</v>
      </c>
      <c r="B322" s="5"/>
      <c r="C322" s="6"/>
      <c r="D322" s="14"/>
      <c r="E322" s="8">
        <f>if(C322&lt;&gt;"", VLOOKUP(C322,' สรุปยอด 2'!A:D,4,0),0)</f>
        <v>0</v>
      </c>
      <c r="F322" s="9">
        <f t="shared" si="3"/>
        <v>0</v>
      </c>
      <c r="G322" s="9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</row>
    <row r="323">
      <c r="A323" s="4">
        <v>324.0</v>
      </c>
      <c r="B323" s="5"/>
      <c r="C323" s="6"/>
      <c r="D323" s="14"/>
      <c r="E323" s="8">
        <f>if(C323&lt;&gt;"", VLOOKUP(C323,' สรุปยอด 2'!A:D,4,0),0)</f>
        <v>0</v>
      </c>
      <c r="F323" s="9">
        <f t="shared" si="3"/>
        <v>0</v>
      </c>
      <c r="G323" s="9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</row>
    <row r="324">
      <c r="A324" s="4">
        <v>325.0</v>
      </c>
      <c r="B324" s="5"/>
      <c r="C324" s="6"/>
      <c r="D324" s="14"/>
      <c r="E324" s="8">
        <f>if(C324&lt;&gt;"", VLOOKUP(C324,' สรุปยอด 2'!A:D,4,0),0)</f>
        <v>0</v>
      </c>
      <c r="F324" s="9">
        <f t="shared" si="3"/>
        <v>0</v>
      </c>
      <c r="G324" s="9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</row>
    <row r="325">
      <c r="A325" s="4">
        <v>326.0</v>
      </c>
      <c r="B325" s="5"/>
      <c r="C325" s="6"/>
      <c r="D325" s="14"/>
      <c r="E325" s="10">
        <v>379.0</v>
      </c>
      <c r="F325" s="9">
        <f t="shared" si="3"/>
        <v>0</v>
      </c>
      <c r="G325" s="9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</row>
    <row r="326">
      <c r="A326" s="4">
        <v>327.0</v>
      </c>
      <c r="B326" s="5"/>
      <c r="C326" s="6"/>
      <c r="D326" s="14"/>
      <c r="E326" s="8">
        <f>if(C326&lt;&gt;"", VLOOKUP(C326,' สรุปยอด 2'!A:D,4,0),0)</f>
        <v>0</v>
      </c>
      <c r="F326" s="9">
        <f t="shared" si="3"/>
        <v>0</v>
      </c>
      <c r="G326" s="9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</row>
    <row r="327">
      <c r="A327" s="4">
        <v>328.0</v>
      </c>
      <c r="B327" s="5"/>
      <c r="C327" s="6"/>
      <c r="D327" s="14"/>
      <c r="E327" s="8">
        <f>if(C327&lt;&gt;"", VLOOKUP(C327,' สรุปยอด 2'!A:D,4,0),0)</f>
        <v>0</v>
      </c>
      <c r="F327" s="9">
        <f t="shared" si="3"/>
        <v>0</v>
      </c>
      <c r="G327" s="9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</row>
    <row r="328">
      <c r="A328" s="4">
        <v>329.0</v>
      </c>
      <c r="B328" s="5"/>
      <c r="C328" s="6"/>
      <c r="D328" s="14"/>
      <c r="E328" s="8">
        <f>if(C328&lt;&gt;"", VLOOKUP(C328,' สรุปยอด 2'!A:D,4,0),0)</f>
        <v>0</v>
      </c>
      <c r="F328" s="9">
        <f t="shared" si="3"/>
        <v>0</v>
      </c>
      <c r="G328" s="9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</row>
    <row r="329">
      <c r="A329" s="4">
        <v>330.0</v>
      </c>
      <c r="B329" s="5"/>
      <c r="C329" s="6"/>
      <c r="D329" s="14"/>
      <c r="E329" s="8">
        <f>if(C329&lt;&gt;"", VLOOKUP(C329,' สรุปยอด 2'!A:D,4,0),0)</f>
        <v>0</v>
      </c>
      <c r="F329" s="9">
        <f t="shared" si="3"/>
        <v>0</v>
      </c>
      <c r="G329" s="9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</row>
    <row r="330">
      <c r="A330" s="4">
        <v>331.0</v>
      </c>
      <c r="B330" s="5"/>
      <c r="C330" s="6"/>
      <c r="D330" s="14"/>
      <c r="E330" s="8">
        <f>if(C330&lt;&gt;"", VLOOKUP(C330,' สรุปยอด 2'!A:D,4,0),0)</f>
        <v>0</v>
      </c>
      <c r="F330" s="9">
        <f t="shared" si="3"/>
        <v>0</v>
      </c>
      <c r="G330" s="9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</row>
    <row r="331">
      <c r="A331" s="4">
        <v>332.0</v>
      </c>
      <c r="B331" s="5"/>
      <c r="C331" s="6"/>
      <c r="D331" s="14"/>
      <c r="E331" s="8">
        <f>if(C331&lt;&gt;"", VLOOKUP(C331,' สรุปยอด 2'!A:D,4,0),0)</f>
        <v>0</v>
      </c>
      <c r="F331" s="9">
        <f t="shared" si="3"/>
        <v>0</v>
      </c>
      <c r="G331" s="9"/>
    </row>
    <row r="332">
      <c r="A332" s="4">
        <v>333.0</v>
      </c>
      <c r="B332" s="5"/>
      <c r="C332" s="6"/>
      <c r="D332" s="14"/>
      <c r="E332" s="8">
        <f>if(C332&lt;&gt;"", VLOOKUP(C332,' สรุปยอด 2'!A:D,4,0),0)</f>
        <v>0</v>
      </c>
      <c r="F332" s="9">
        <f t="shared" si="3"/>
        <v>0</v>
      </c>
      <c r="G332" s="9"/>
    </row>
    <row r="333">
      <c r="A333" s="4">
        <v>334.0</v>
      </c>
      <c r="B333" s="5"/>
      <c r="C333" s="6"/>
      <c r="D333" s="14"/>
      <c r="E333" s="8">
        <f>if(C333&lt;&gt;"", VLOOKUP(C333,' สรุปยอด 2'!A:D,4,0),0)</f>
        <v>0</v>
      </c>
      <c r="F333" s="9">
        <f t="shared" si="3"/>
        <v>0</v>
      </c>
      <c r="G333" s="9"/>
    </row>
    <row r="334">
      <c r="A334" s="4">
        <v>335.0</v>
      </c>
      <c r="B334" s="5"/>
      <c r="C334" s="6"/>
      <c r="D334" s="14"/>
      <c r="E334" s="10">
        <v>219.0</v>
      </c>
      <c r="F334" s="9">
        <f t="shared" si="3"/>
        <v>0</v>
      </c>
      <c r="G334" s="9"/>
    </row>
    <row r="335">
      <c r="A335" s="4">
        <v>336.0</v>
      </c>
      <c r="B335" s="5"/>
      <c r="C335" s="6"/>
      <c r="D335" s="14"/>
      <c r="E335" s="10">
        <v>349.0</v>
      </c>
      <c r="F335" s="9">
        <f t="shared" si="3"/>
        <v>0</v>
      </c>
      <c r="G335" s="9"/>
    </row>
    <row r="336">
      <c r="A336" s="4">
        <v>337.0</v>
      </c>
      <c r="B336" s="5"/>
      <c r="C336" s="6"/>
      <c r="D336" s="14"/>
      <c r="E336" s="10">
        <v>990.0</v>
      </c>
      <c r="F336" s="9">
        <f t="shared" si="3"/>
        <v>0</v>
      </c>
      <c r="G336" s="9"/>
    </row>
    <row r="337">
      <c r="A337" s="4">
        <v>338.0</v>
      </c>
      <c r="B337" s="5"/>
      <c r="C337" s="6"/>
      <c r="D337" s="14"/>
      <c r="E337" s="10">
        <v>790.0</v>
      </c>
      <c r="F337" s="9">
        <f t="shared" si="3"/>
        <v>0</v>
      </c>
      <c r="G337" s="9"/>
    </row>
    <row r="338">
      <c r="A338" s="4">
        <v>339.0</v>
      </c>
      <c r="B338" s="5"/>
      <c r="C338" s="6"/>
      <c r="D338" s="14"/>
      <c r="E338" s="10">
        <v>590.0</v>
      </c>
      <c r="F338" s="9">
        <f t="shared" si="3"/>
        <v>0</v>
      </c>
      <c r="G338" s="9"/>
    </row>
    <row r="339">
      <c r="A339" s="4">
        <v>340.0</v>
      </c>
      <c r="B339" s="5"/>
      <c r="C339" s="6"/>
      <c r="D339" s="14"/>
      <c r="E339" s="10">
        <v>590.0</v>
      </c>
      <c r="F339" s="9">
        <f t="shared" si="3"/>
        <v>0</v>
      </c>
      <c r="G339" s="9"/>
    </row>
    <row r="340">
      <c r="A340" s="4">
        <v>341.0</v>
      </c>
      <c r="B340" s="5"/>
      <c r="C340" s="6"/>
      <c r="D340" s="14"/>
      <c r="E340" s="10">
        <v>390.0</v>
      </c>
      <c r="F340" s="9">
        <f t="shared" si="3"/>
        <v>0</v>
      </c>
      <c r="G340" s="9"/>
    </row>
    <row r="341">
      <c r="A341" s="4">
        <v>342.0</v>
      </c>
      <c r="B341" s="5"/>
      <c r="C341" s="6"/>
      <c r="D341" s="14"/>
      <c r="E341" s="10">
        <v>590.0</v>
      </c>
      <c r="F341" s="9">
        <f t="shared" si="3"/>
        <v>0</v>
      </c>
      <c r="G341" s="9"/>
    </row>
    <row r="342">
      <c r="A342" s="4">
        <v>343.0</v>
      </c>
      <c r="B342" s="5"/>
      <c r="C342" s="6"/>
      <c r="D342" s="14"/>
      <c r="E342" s="10">
        <v>65.0</v>
      </c>
      <c r="F342" s="9">
        <f t="shared" si="3"/>
        <v>0</v>
      </c>
      <c r="G342" s="9"/>
    </row>
    <row r="343">
      <c r="A343" s="4">
        <v>344.0</v>
      </c>
      <c r="B343" s="5"/>
      <c r="C343" s="6"/>
      <c r="D343" s="14"/>
      <c r="E343" s="10">
        <v>39.0</v>
      </c>
      <c r="F343" s="9">
        <f t="shared" si="3"/>
        <v>0</v>
      </c>
      <c r="G343" s="9"/>
    </row>
    <row r="344">
      <c r="A344" s="4">
        <v>345.0</v>
      </c>
      <c r="B344" s="5"/>
      <c r="C344" s="6"/>
      <c r="D344" s="14"/>
      <c r="E344" s="10">
        <v>222.0</v>
      </c>
      <c r="F344" s="9">
        <f t="shared" si="3"/>
        <v>0</v>
      </c>
      <c r="G344" s="9"/>
    </row>
    <row r="345">
      <c r="A345" s="4">
        <v>346.0</v>
      </c>
      <c r="B345" s="5"/>
      <c r="C345" s="6"/>
      <c r="D345" s="14"/>
      <c r="E345" s="8">
        <f>if(C345&lt;&gt;"", VLOOKUP(C345,' สรุปยอด 2'!A:D,4,0),0)</f>
        <v>0</v>
      </c>
      <c r="F345" s="9">
        <f t="shared" si="3"/>
        <v>0</v>
      </c>
      <c r="G345" s="9"/>
    </row>
    <row r="346">
      <c r="A346" s="4">
        <v>347.0</v>
      </c>
      <c r="B346" s="5"/>
      <c r="C346" s="6"/>
      <c r="D346" s="14"/>
      <c r="E346" s="8">
        <f>if(C346&lt;&gt;"", VLOOKUP(C346,' สรุปยอด 2'!A:D,4,0),0)</f>
        <v>0</v>
      </c>
      <c r="F346" s="9">
        <f t="shared" si="3"/>
        <v>0</v>
      </c>
      <c r="G346" s="9"/>
    </row>
    <row r="347">
      <c r="A347" s="4">
        <v>348.0</v>
      </c>
      <c r="B347" s="5"/>
      <c r="C347" s="6"/>
      <c r="D347" s="14"/>
      <c r="E347" s="8">
        <f>if(C347&lt;&gt;"", VLOOKUP(C347,' สรุปยอด 2'!A:D,4,0),0)</f>
        <v>0</v>
      </c>
      <c r="F347" s="9">
        <f t="shared" si="3"/>
        <v>0</v>
      </c>
      <c r="G347" s="9"/>
    </row>
    <row r="348">
      <c r="A348" s="4">
        <v>349.0</v>
      </c>
      <c r="B348" s="5"/>
      <c r="C348" s="6"/>
      <c r="D348" s="14"/>
      <c r="E348" s="8">
        <f>if(C348&lt;&gt;"", VLOOKUP(C348,' สรุปยอด 2'!A:D,4,0),0)</f>
        <v>0</v>
      </c>
      <c r="F348" s="9">
        <f t="shared" si="3"/>
        <v>0</v>
      </c>
      <c r="G348" s="9"/>
    </row>
    <row r="349">
      <c r="A349" s="4">
        <v>350.0</v>
      </c>
      <c r="B349" s="5"/>
      <c r="C349" s="6"/>
      <c r="D349" s="14"/>
      <c r="E349" s="8">
        <f>if(C349&lt;&gt;"", VLOOKUP(C349,' สรุปยอด 2'!A:D,4,0),0)</f>
        <v>0</v>
      </c>
      <c r="F349" s="9">
        <f t="shared" si="3"/>
        <v>0</v>
      </c>
      <c r="G349" s="9"/>
    </row>
    <row r="350">
      <c r="A350" s="4">
        <v>351.0</v>
      </c>
      <c r="B350" s="5"/>
      <c r="C350" s="6"/>
      <c r="D350" s="14"/>
      <c r="E350" s="8">
        <f>if(C350&lt;&gt;"", VLOOKUP(C350,' สรุปยอด 2'!A:D,4,0),0)</f>
        <v>0</v>
      </c>
      <c r="F350" s="9">
        <f t="shared" si="3"/>
        <v>0</v>
      </c>
      <c r="G350" s="9"/>
    </row>
    <row r="351">
      <c r="A351" s="4">
        <v>352.0</v>
      </c>
      <c r="B351" s="5"/>
      <c r="C351" s="6"/>
      <c r="D351" s="14"/>
      <c r="E351" s="8">
        <f>if(C351&lt;&gt;"", VLOOKUP(C351,' สรุปยอด 2'!A:D,4,0),0)</f>
        <v>0</v>
      </c>
      <c r="F351" s="9">
        <f t="shared" si="3"/>
        <v>0</v>
      </c>
      <c r="G351" s="9"/>
    </row>
    <row r="352">
      <c r="A352" s="4">
        <v>353.0</v>
      </c>
      <c r="B352" s="5"/>
      <c r="C352" s="6"/>
      <c r="D352" s="14"/>
      <c r="E352" s="8">
        <f>if(C352&lt;&gt;"", VLOOKUP(C352,' สรุปยอด 2'!A:D,4,0),0)</f>
        <v>0</v>
      </c>
      <c r="F352" s="9">
        <f t="shared" si="3"/>
        <v>0</v>
      </c>
      <c r="G352" s="9"/>
    </row>
    <row r="353">
      <c r="A353" s="4">
        <v>354.0</v>
      </c>
      <c r="B353" s="5"/>
      <c r="C353" s="6"/>
      <c r="D353" s="14"/>
      <c r="E353" s="8">
        <f>if(C353&lt;&gt;"", VLOOKUP(C353,' สรุปยอด 2'!A:D,4,0),0)</f>
        <v>0</v>
      </c>
      <c r="F353" s="9">
        <f t="shared" si="3"/>
        <v>0</v>
      </c>
      <c r="G353" s="9"/>
    </row>
    <row r="354">
      <c r="A354" s="4">
        <v>355.0</v>
      </c>
      <c r="B354" s="5"/>
      <c r="C354" s="6"/>
      <c r="D354" s="14"/>
      <c r="E354" s="8">
        <f>if(C354&lt;&gt;"", VLOOKUP(C354,' สรุปยอด 2'!A:D,4,0),0)</f>
        <v>0</v>
      </c>
      <c r="F354" s="9">
        <f t="shared" si="3"/>
        <v>0</v>
      </c>
      <c r="G354" s="9"/>
    </row>
    <row r="355">
      <c r="A355" s="4">
        <v>356.0</v>
      </c>
      <c r="B355" s="5"/>
      <c r="C355" s="6"/>
      <c r="D355" s="14"/>
      <c r="E355" s="8">
        <f>if(C355&lt;&gt;"", VLOOKUP(C355,' สรุปยอด 2'!A:D,4,0),0)</f>
        <v>0</v>
      </c>
      <c r="F355" s="9">
        <f t="shared" si="3"/>
        <v>0</v>
      </c>
      <c r="G355" s="9"/>
    </row>
    <row r="356">
      <c r="A356" s="4">
        <v>357.0</v>
      </c>
      <c r="B356" s="5"/>
      <c r="C356" s="6"/>
      <c r="D356" s="14"/>
      <c r="E356" s="8">
        <f>if(C356&lt;&gt;"", VLOOKUP(C356,' สรุปยอด 2'!A:D,4,0),0)</f>
        <v>0</v>
      </c>
      <c r="F356" s="9">
        <f t="shared" si="3"/>
        <v>0</v>
      </c>
      <c r="G356" s="9"/>
    </row>
    <row r="357">
      <c r="A357" s="24"/>
      <c r="B357" s="25"/>
      <c r="C357" s="26"/>
      <c r="D357" s="25"/>
      <c r="E357" s="24"/>
      <c r="F357" s="24"/>
      <c r="G357" s="24"/>
    </row>
    <row r="358">
      <c r="A358" s="24"/>
      <c r="B358" s="25"/>
      <c r="C358" s="26"/>
      <c r="D358" s="25"/>
      <c r="E358" s="24"/>
      <c r="F358" s="24"/>
      <c r="G358" s="24"/>
    </row>
    <row r="359">
      <c r="A359" s="24"/>
      <c r="B359" s="25"/>
      <c r="C359" s="26"/>
      <c r="D359" s="25"/>
      <c r="E359" s="24"/>
      <c r="F359" s="24"/>
      <c r="G359" s="24"/>
    </row>
    <row r="360">
      <c r="A360" s="24"/>
      <c r="B360" s="25"/>
      <c r="C360" s="26"/>
      <c r="D360" s="25"/>
      <c r="E360" s="24"/>
      <c r="F360" s="24"/>
      <c r="G360" s="24"/>
    </row>
    <row r="361">
      <c r="A361" s="24"/>
      <c r="B361" s="25"/>
      <c r="C361" s="26"/>
      <c r="D361" s="25"/>
      <c r="E361" s="24"/>
      <c r="F361" s="24"/>
      <c r="G361" s="24"/>
    </row>
    <row r="362">
      <c r="A362" s="24"/>
      <c r="B362" s="25"/>
      <c r="C362" s="26"/>
      <c r="D362" s="25"/>
      <c r="E362" s="24"/>
      <c r="F362" s="24"/>
      <c r="G362" s="24"/>
    </row>
    <row r="363">
      <c r="A363" s="24"/>
      <c r="B363" s="25"/>
      <c r="C363" s="26"/>
      <c r="D363" s="25"/>
      <c r="E363" s="24"/>
      <c r="F363" s="24"/>
      <c r="G363" s="24"/>
    </row>
    <row r="364">
      <c r="A364" s="24"/>
      <c r="B364" s="25"/>
      <c r="C364" s="26"/>
      <c r="D364" s="25"/>
      <c r="E364" s="24"/>
      <c r="F364" s="24"/>
      <c r="G364" s="24"/>
    </row>
    <row r="365">
      <c r="A365" s="24"/>
      <c r="B365" s="25"/>
      <c r="C365" s="26"/>
      <c r="D365" s="25"/>
      <c r="E365" s="24"/>
      <c r="F365" s="24"/>
      <c r="G365" s="24"/>
    </row>
    <row r="366">
      <c r="A366" s="24"/>
      <c r="B366" s="25"/>
      <c r="C366" s="26"/>
      <c r="D366" s="25"/>
      <c r="E366" s="24"/>
      <c r="F366" s="24"/>
      <c r="G366" s="24"/>
    </row>
    <row r="367">
      <c r="A367" s="24"/>
      <c r="B367" s="25"/>
      <c r="C367" s="26"/>
      <c r="D367" s="25"/>
      <c r="E367" s="24"/>
      <c r="F367" s="24"/>
      <c r="G367" s="24"/>
    </row>
    <row r="368">
      <c r="A368" s="24"/>
      <c r="B368" s="25"/>
      <c r="C368" s="26"/>
      <c r="D368" s="25"/>
      <c r="E368" s="24"/>
      <c r="F368" s="24"/>
      <c r="G368" s="24"/>
    </row>
    <row r="369">
      <c r="A369" s="24"/>
      <c r="B369" s="25"/>
      <c r="C369" s="26"/>
      <c r="D369" s="25"/>
      <c r="E369" s="24"/>
      <c r="F369" s="24"/>
      <c r="G369" s="24"/>
    </row>
    <row r="370">
      <c r="A370" s="24"/>
      <c r="B370" s="25"/>
      <c r="C370" s="26"/>
      <c r="D370" s="25"/>
      <c r="E370" s="24"/>
      <c r="F370" s="24"/>
      <c r="G370" s="24"/>
    </row>
    <row r="371">
      <c r="A371" s="24"/>
      <c r="B371" s="25"/>
      <c r="C371" s="26"/>
      <c r="D371" s="25"/>
      <c r="E371" s="24"/>
      <c r="F371" s="24"/>
      <c r="G371" s="24"/>
    </row>
    <row r="372">
      <c r="A372" s="24"/>
      <c r="B372" s="25"/>
      <c r="C372" s="26"/>
      <c r="D372" s="25"/>
      <c r="E372" s="24"/>
      <c r="F372" s="24"/>
      <c r="G372" s="24"/>
    </row>
    <row r="373">
      <c r="A373" s="24"/>
      <c r="B373" s="25"/>
      <c r="C373" s="26"/>
      <c r="D373" s="25"/>
      <c r="E373" s="24"/>
      <c r="F373" s="24"/>
      <c r="G373" s="24"/>
    </row>
    <row r="374">
      <c r="A374" s="24"/>
      <c r="B374" s="25"/>
      <c r="C374" s="26"/>
      <c r="D374" s="25"/>
      <c r="E374" s="24"/>
      <c r="F374" s="24"/>
      <c r="G374" s="24"/>
    </row>
    <row r="375">
      <c r="A375" s="24"/>
      <c r="B375" s="25"/>
      <c r="C375" s="26"/>
      <c r="D375" s="25"/>
      <c r="E375" s="24"/>
      <c r="F375" s="24"/>
      <c r="G375" s="24"/>
    </row>
    <row r="376">
      <c r="A376" s="24"/>
      <c r="B376" s="25"/>
      <c r="C376" s="26"/>
      <c r="D376" s="25"/>
      <c r="E376" s="24"/>
      <c r="F376" s="24"/>
      <c r="G376" s="24"/>
    </row>
    <row r="377">
      <c r="A377" s="24"/>
      <c r="B377" s="25"/>
      <c r="C377" s="26"/>
      <c r="D377" s="25"/>
      <c r="E377" s="24"/>
      <c r="F377" s="24"/>
      <c r="G377" s="24"/>
    </row>
    <row r="378">
      <c r="A378" s="24"/>
      <c r="B378" s="25"/>
      <c r="C378" s="26"/>
      <c r="D378" s="25"/>
      <c r="E378" s="24"/>
      <c r="F378" s="24"/>
      <c r="G378" s="24"/>
    </row>
    <row r="379">
      <c r="A379" s="24"/>
      <c r="B379" s="25"/>
      <c r="C379" s="26"/>
      <c r="D379" s="25"/>
      <c r="E379" s="24"/>
      <c r="F379" s="24"/>
      <c r="G379" s="24"/>
    </row>
    <row r="380">
      <c r="A380" s="24"/>
      <c r="B380" s="25"/>
      <c r="C380" s="26"/>
      <c r="D380" s="25"/>
      <c r="E380" s="24"/>
      <c r="F380" s="24"/>
      <c r="G380" s="24"/>
    </row>
    <row r="381">
      <c r="A381" s="24"/>
      <c r="B381" s="25"/>
      <c r="C381" s="26"/>
      <c r="D381" s="25"/>
      <c r="E381" s="24"/>
      <c r="F381" s="24"/>
      <c r="G381" s="24"/>
    </row>
    <row r="382">
      <c r="A382" s="24"/>
      <c r="B382" s="25"/>
      <c r="C382" s="26"/>
      <c r="D382" s="25"/>
      <c r="E382" s="24"/>
      <c r="F382" s="24"/>
      <c r="G382" s="24"/>
    </row>
    <row r="383">
      <c r="A383" s="24"/>
      <c r="B383" s="25"/>
      <c r="C383" s="26"/>
      <c r="D383" s="25"/>
      <c r="E383" s="24"/>
      <c r="F383" s="24"/>
      <c r="G383" s="24"/>
    </row>
    <row r="384">
      <c r="A384" s="24"/>
      <c r="B384" s="25"/>
      <c r="C384" s="26"/>
      <c r="D384" s="25"/>
      <c r="E384" s="24"/>
      <c r="F384" s="24"/>
      <c r="G384" s="24"/>
    </row>
    <row r="385">
      <c r="A385" s="24"/>
      <c r="B385" s="25"/>
      <c r="C385" s="26"/>
      <c r="D385" s="25"/>
      <c r="E385" s="24"/>
      <c r="F385" s="24"/>
      <c r="G385" s="24"/>
    </row>
    <row r="386">
      <c r="A386" s="24"/>
      <c r="B386" s="25"/>
      <c r="C386" s="26"/>
      <c r="D386" s="25"/>
      <c r="E386" s="24"/>
      <c r="F386" s="24"/>
      <c r="G386" s="24"/>
    </row>
    <row r="387">
      <c r="A387" s="24"/>
      <c r="B387" s="25"/>
      <c r="C387" s="26"/>
      <c r="D387" s="25"/>
      <c r="E387" s="24"/>
      <c r="F387" s="24"/>
      <c r="G387" s="24"/>
    </row>
    <row r="388">
      <c r="A388" s="24"/>
      <c r="B388" s="25"/>
      <c r="C388" s="26"/>
      <c r="D388" s="25"/>
      <c r="E388" s="24"/>
      <c r="F388" s="24"/>
      <c r="G388" s="24"/>
    </row>
    <row r="389">
      <c r="A389" s="24"/>
      <c r="B389" s="25"/>
      <c r="C389" s="26"/>
      <c r="D389" s="25"/>
      <c r="E389" s="24"/>
      <c r="F389" s="24"/>
      <c r="G389" s="24"/>
    </row>
    <row r="390">
      <c r="A390" s="24"/>
      <c r="B390" s="25"/>
      <c r="C390" s="26"/>
      <c r="D390" s="25"/>
      <c r="E390" s="24"/>
      <c r="F390" s="24"/>
      <c r="G390" s="24"/>
    </row>
    <row r="391">
      <c r="A391" s="24"/>
      <c r="B391" s="25"/>
      <c r="C391" s="26"/>
      <c r="D391" s="25"/>
      <c r="E391" s="24"/>
      <c r="F391" s="24"/>
      <c r="G391" s="24"/>
    </row>
    <row r="392">
      <c r="A392" s="24"/>
      <c r="B392" s="25"/>
      <c r="C392" s="26"/>
      <c r="D392" s="25"/>
      <c r="E392" s="24"/>
      <c r="F392" s="24"/>
      <c r="G392" s="24"/>
    </row>
    <row r="393">
      <c r="A393" s="24"/>
      <c r="B393" s="25"/>
      <c r="C393" s="26"/>
      <c r="D393" s="25"/>
      <c r="E393" s="24"/>
      <c r="F393" s="24"/>
      <c r="G393" s="24"/>
    </row>
    <row r="394">
      <c r="A394" s="24"/>
      <c r="B394" s="25"/>
      <c r="C394" s="26"/>
      <c r="D394" s="25"/>
      <c r="E394" s="24"/>
      <c r="F394" s="24"/>
      <c r="G394" s="24"/>
    </row>
    <row r="395">
      <c r="A395" s="24"/>
      <c r="B395" s="25"/>
      <c r="C395" s="26"/>
      <c r="D395" s="25"/>
      <c r="E395" s="24"/>
      <c r="F395" s="24"/>
      <c r="G395" s="24"/>
    </row>
    <row r="396">
      <c r="A396" s="24"/>
      <c r="B396" s="25"/>
      <c r="C396" s="26"/>
      <c r="D396" s="25"/>
      <c r="E396" s="24"/>
      <c r="F396" s="24"/>
      <c r="G396" s="24"/>
    </row>
    <row r="397">
      <c r="A397" s="24"/>
      <c r="B397" s="25"/>
      <c r="C397" s="26"/>
      <c r="D397" s="25"/>
      <c r="E397" s="24"/>
      <c r="F397" s="24"/>
      <c r="G397" s="24"/>
    </row>
    <row r="398">
      <c r="A398" s="24"/>
      <c r="B398" s="25"/>
      <c r="C398" s="26"/>
      <c r="D398" s="25"/>
      <c r="E398" s="24"/>
      <c r="F398" s="24"/>
      <c r="G398" s="24"/>
    </row>
    <row r="399">
      <c r="A399" s="24"/>
      <c r="B399" s="25"/>
      <c r="C399" s="26"/>
      <c r="D399" s="25"/>
      <c r="E399" s="24"/>
      <c r="F399" s="24"/>
      <c r="G399" s="24"/>
    </row>
    <row r="400">
      <c r="A400" s="24"/>
      <c r="B400" s="25"/>
      <c r="C400" s="26"/>
      <c r="D400" s="25"/>
      <c r="E400" s="24"/>
      <c r="F400" s="24"/>
      <c r="G400" s="24"/>
    </row>
    <row r="401">
      <c r="A401" s="24"/>
      <c r="B401" s="25"/>
      <c r="C401" s="26"/>
      <c r="D401" s="25"/>
      <c r="E401" s="24"/>
      <c r="F401" s="24"/>
      <c r="G401" s="24"/>
    </row>
    <row r="402">
      <c r="A402" s="24"/>
      <c r="B402" s="25"/>
      <c r="C402" s="26"/>
      <c r="D402" s="25"/>
      <c r="E402" s="24"/>
      <c r="F402" s="24"/>
      <c r="G402" s="24"/>
    </row>
    <row r="403">
      <c r="A403" s="24"/>
      <c r="B403" s="25"/>
      <c r="C403" s="26"/>
      <c r="D403" s="25"/>
      <c r="E403" s="24"/>
      <c r="F403" s="24"/>
      <c r="G403" s="24"/>
    </row>
    <row r="404">
      <c r="A404" s="24"/>
      <c r="B404" s="25"/>
      <c r="C404" s="26"/>
      <c r="D404" s="25"/>
      <c r="E404" s="24"/>
      <c r="F404" s="24"/>
      <c r="G404" s="24"/>
    </row>
    <row r="405">
      <c r="A405" s="24"/>
      <c r="B405" s="25"/>
      <c r="C405" s="26"/>
      <c r="D405" s="25"/>
      <c r="E405" s="24"/>
      <c r="F405" s="24"/>
      <c r="G405" s="24"/>
    </row>
    <row r="406">
      <c r="A406" s="24"/>
      <c r="B406" s="25"/>
      <c r="C406" s="26"/>
      <c r="D406" s="25"/>
      <c r="E406" s="24"/>
      <c r="F406" s="24"/>
      <c r="G406" s="24"/>
    </row>
    <row r="407">
      <c r="A407" s="24"/>
      <c r="B407" s="25"/>
      <c r="C407" s="26"/>
      <c r="D407" s="25"/>
      <c r="E407" s="24"/>
      <c r="F407" s="24"/>
      <c r="G407" s="24"/>
    </row>
    <row r="408">
      <c r="A408" s="24"/>
      <c r="B408" s="25"/>
      <c r="C408" s="26"/>
      <c r="D408" s="25"/>
      <c r="E408" s="24"/>
      <c r="F408" s="24"/>
      <c r="G408" s="24"/>
    </row>
    <row r="409">
      <c r="A409" s="24"/>
      <c r="B409" s="25"/>
      <c r="C409" s="26"/>
      <c r="D409" s="25"/>
      <c r="E409" s="24"/>
      <c r="F409" s="24"/>
      <c r="G409" s="24"/>
    </row>
    <row r="410">
      <c r="A410" s="24"/>
      <c r="B410" s="25"/>
      <c r="C410" s="26"/>
      <c r="D410" s="25"/>
      <c r="E410" s="24"/>
      <c r="F410" s="24"/>
      <c r="G410" s="24"/>
    </row>
    <row r="411">
      <c r="A411" s="24"/>
      <c r="B411" s="25"/>
      <c r="C411" s="26"/>
      <c r="D411" s="25"/>
      <c r="E411" s="24"/>
      <c r="F411" s="24"/>
      <c r="G411" s="24"/>
    </row>
    <row r="412">
      <c r="A412" s="24"/>
      <c r="B412" s="25"/>
      <c r="C412" s="26"/>
      <c r="D412" s="25"/>
      <c r="E412" s="24"/>
      <c r="F412" s="24"/>
      <c r="G412" s="24"/>
    </row>
    <row r="413">
      <c r="A413" s="24"/>
      <c r="B413" s="25"/>
      <c r="C413" s="26"/>
      <c r="D413" s="25"/>
      <c r="E413" s="24"/>
      <c r="F413" s="24"/>
      <c r="G413" s="24"/>
    </row>
    <row r="414">
      <c r="A414" s="24"/>
      <c r="B414" s="25"/>
      <c r="C414" s="26"/>
      <c r="D414" s="25"/>
      <c r="E414" s="24"/>
      <c r="F414" s="24"/>
      <c r="G414" s="24"/>
    </row>
    <row r="415">
      <c r="A415" s="24"/>
      <c r="B415" s="25"/>
      <c r="C415" s="26"/>
      <c r="D415" s="25"/>
      <c r="E415" s="24"/>
      <c r="F415" s="24"/>
      <c r="G415" s="24"/>
    </row>
    <row r="416">
      <c r="A416" s="24"/>
      <c r="B416" s="25"/>
      <c r="C416" s="26"/>
      <c r="D416" s="25"/>
      <c r="E416" s="24"/>
      <c r="F416" s="24"/>
      <c r="G416" s="24"/>
    </row>
    <row r="417">
      <c r="A417" s="24"/>
      <c r="B417" s="25"/>
      <c r="C417" s="26"/>
      <c r="D417" s="25"/>
      <c r="E417" s="24"/>
      <c r="F417" s="24"/>
      <c r="G417" s="24"/>
    </row>
    <row r="418">
      <c r="A418" s="24"/>
      <c r="B418" s="25"/>
      <c r="C418" s="26"/>
      <c r="D418" s="25"/>
      <c r="E418" s="24"/>
      <c r="F418" s="24"/>
      <c r="G418" s="24"/>
    </row>
    <row r="419">
      <c r="A419" s="24"/>
      <c r="B419" s="25"/>
      <c r="C419" s="26"/>
      <c r="D419" s="25"/>
      <c r="E419" s="24"/>
      <c r="F419" s="24"/>
      <c r="G419" s="24"/>
    </row>
    <row r="420">
      <c r="A420" s="24"/>
      <c r="B420" s="25"/>
      <c r="C420" s="26"/>
      <c r="D420" s="25"/>
      <c r="E420" s="24"/>
      <c r="F420" s="24"/>
      <c r="G420" s="24"/>
    </row>
    <row r="421">
      <c r="A421" s="24"/>
      <c r="B421" s="25"/>
      <c r="C421" s="26"/>
      <c r="D421" s="25"/>
      <c r="E421" s="24"/>
      <c r="F421" s="24"/>
      <c r="G421" s="24"/>
    </row>
    <row r="422">
      <c r="A422" s="24"/>
      <c r="B422" s="25"/>
      <c r="C422" s="26"/>
      <c r="D422" s="25"/>
      <c r="E422" s="24"/>
      <c r="F422" s="24"/>
      <c r="G422" s="24"/>
    </row>
    <row r="423">
      <c r="A423" s="24"/>
      <c r="B423" s="25"/>
      <c r="C423" s="26"/>
      <c r="D423" s="25"/>
      <c r="E423" s="24"/>
      <c r="F423" s="24"/>
      <c r="G423" s="24"/>
    </row>
    <row r="424">
      <c r="A424" s="24"/>
      <c r="B424" s="25"/>
      <c r="C424" s="26"/>
      <c r="D424" s="25"/>
      <c r="E424" s="24"/>
      <c r="F424" s="24"/>
      <c r="G424" s="24"/>
    </row>
    <row r="425">
      <c r="A425" s="24"/>
      <c r="B425" s="25"/>
      <c r="C425" s="26"/>
      <c r="D425" s="25"/>
      <c r="E425" s="24"/>
      <c r="F425" s="24"/>
      <c r="G425" s="24"/>
    </row>
    <row r="426">
      <c r="A426" s="24"/>
      <c r="B426" s="25"/>
      <c r="C426" s="26"/>
      <c r="D426" s="25"/>
      <c r="E426" s="24"/>
      <c r="F426" s="24"/>
      <c r="G426" s="24"/>
    </row>
    <row r="427">
      <c r="A427" s="24"/>
      <c r="B427" s="25"/>
      <c r="C427" s="26"/>
      <c r="D427" s="25"/>
      <c r="E427" s="24"/>
      <c r="F427" s="24"/>
      <c r="G427" s="24"/>
    </row>
    <row r="428">
      <c r="A428" s="24"/>
      <c r="B428" s="25"/>
      <c r="C428" s="26"/>
      <c r="D428" s="25"/>
      <c r="E428" s="24"/>
      <c r="F428" s="24"/>
      <c r="G428" s="24"/>
    </row>
    <row r="429">
      <c r="A429" s="24"/>
      <c r="B429" s="25"/>
      <c r="C429" s="26"/>
      <c r="D429" s="25"/>
      <c r="E429" s="24"/>
      <c r="F429" s="24"/>
      <c r="G429" s="24"/>
    </row>
    <row r="430">
      <c r="A430" s="24"/>
      <c r="B430" s="25"/>
      <c r="C430" s="26"/>
      <c r="D430" s="25"/>
      <c r="E430" s="24"/>
      <c r="F430" s="24"/>
      <c r="G430" s="24"/>
    </row>
    <row r="431">
      <c r="A431" s="24"/>
      <c r="B431" s="25"/>
      <c r="C431" s="26"/>
      <c r="D431" s="25"/>
      <c r="E431" s="24"/>
      <c r="F431" s="24"/>
      <c r="G431" s="24"/>
    </row>
    <row r="432">
      <c r="A432" s="24"/>
      <c r="B432" s="25"/>
      <c r="C432" s="26"/>
      <c r="D432" s="25"/>
      <c r="E432" s="24"/>
      <c r="F432" s="24"/>
      <c r="G432" s="24"/>
    </row>
    <row r="433">
      <c r="A433" s="24"/>
      <c r="B433" s="25"/>
      <c r="C433" s="26"/>
      <c r="D433" s="25"/>
      <c r="E433" s="24"/>
      <c r="F433" s="24"/>
      <c r="G433" s="24"/>
    </row>
    <row r="434">
      <c r="A434" s="24"/>
      <c r="B434" s="25"/>
      <c r="C434" s="26"/>
      <c r="D434" s="25"/>
      <c r="E434" s="24"/>
      <c r="F434" s="24"/>
      <c r="G434" s="24"/>
    </row>
    <row r="435">
      <c r="A435" s="24"/>
      <c r="B435" s="25"/>
      <c r="C435" s="26"/>
      <c r="D435" s="25"/>
      <c r="E435" s="24"/>
      <c r="F435" s="24"/>
      <c r="G435" s="24"/>
    </row>
    <row r="436">
      <c r="A436" s="24"/>
      <c r="B436" s="25"/>
      <c r="C436" s="26"/>
      <c r="D436" s="25"/>
      <c r="E436" s="24"/>
      <c r="F436" s="24"/>
      <c r="G436" s="24"/>
    </row>
    <row r="437">
      <c r="A437" s="24"/>
      <c r="B437" s="25"/>
      <c r="C437" s="26"/>
      <c r="D437" s="25"/>
      <c r="E437" s="24"/>
      <c r="F437" s="24"/>
      <c r="G437" s="24"/>
    </row>
    <row r="438">
      <c r="A438" s="24"/>
      <c r="B438" s="25"/>
      <c r="C438" s="26"/>
      <c r="D438" s="25"/>
      <c r="E438" s="24"/>
      <c r="F438" s="24"/>
      <c r="G438" s="24"/>
    </row>
    <row r="439">
      <c r="A439" s="24"/>
      <c r="B439" s="25"/>
      <c r="C439" s="26"/>
      <c r="D439" s="25"/>
      <c r="E439" s="24"/>
      <c r="F439" s="24"/>
      <c r="G439" s="24"/>
    </row>
    <row r="440">
      <c r="A440" s="24"/>
      <c r="B440" s="25"/>
      <c r="C440" s="26"/>
      <c r="D440" s="25"/>
      <c r="E440" s="24"/>
      <c r="F440" s="24"/>
      <c r="G440" s="24"/>
    </row>
    <row r="441">
      <c r="A441" s="24"/>
      <c r="B441" s="25"/>
      <c r="C441" s="26"/>
      <c r="D441" s="25"/>
      <c r="E441" s="24"/>
      <c r="F441" s="24"/>
      <c r="G441" s="24"/>
    </row>
    <row r="442">
      <c r="A442" s="24"/>
      <c r="B442" s="25"/>
      <c r="C442" s="26"/>
      <c r="D442" s="25"/>
      <c r="E442" s="24"/>
      <c r="F442" s="24"/>
      <c r="G442" s="24"/>
    </row>
    <row r="443">
      <c r="A443" s="24"/>
      <c r="B443" s="25"/>
      <c r="C443" s="26"/>
      <c r="D443" s="25"/>
      <c r="E443" s="24"/>
      <c r="F443" s="24"/>
      <c r="G443" s="24"/>
    </row>
    <row r="444">
      <c r="A444" s="24"/>
      <c r="B444" s="25"/>
      <c r="C444" s="26"/>
      <c r="D444" s="25"/>
      <c r="E444" s="24"/>
      <c r="F444" s="24"/>
      <c r="G444" s="24"/>
    </row>
    <row r="445">
      <c r="A445" s="24"/>
      <c r="B445" s="25"/>
      <c r="C445" s="26"/>
      <c r="D445" s="25"/>
      <c r="E445" s="24"/>
      <c r="F445" s="24"/>
      <c r="G445" s="24"/>
    </row>
    <row r="446">
      <c r="A446" s="24"/>
      <c r="B446" s="25"/>
      <c r="C446" s="26"/>
      <c r="D446" s="25"/>
      <c r="E446" s="24"/>
      <c r="F446" s="24"/>
      <c r="G446" s="24"/>
    </row>
    <row r="447">
      <c r="A447" s="24"/>
      <c r="B447" s="25"/>
      <c r="C447" s="26"/>
      <c r="D447" s="25"/>
      <c r="E447" s="24"/>
      <c r="F447" s="24"/>
      <c r="G447" s="24"/>
    </row>
    <row r="448">
      <c r="A448" s="24"/>
      <c r="B448" s="25"/>
      <c r="C448" s="26"/>
      <c r="D448" s="25"/>
      <c r="E448" s="24"/>
      <c r="F448" s="24"/>
      <c r="G448" s="24"/>
    </row>
    <row r="449">
      <c r="A449" s="24"/>
      <c r="B449" s="25"/>
      <c r="C449" s="26"/>
      <c r="D449" s="25"/>
      <c r="E449" s="24"/>
      <c r="F449" s="24"/>
      <c r="G449" s="24"/>
    </row>
    <row r="450">
      <c r="A450" s="24"/>
      <c r="B450" s="25"/>
      <c r="C450" s="26"/>
      <c r="D450" s="25"/>
      <c r="E450" s="24"/>
      <c r="F450" s="24"/>
      <c r="G450" s="24"/>
    </row>
    <row r="451">
      <c r="A451" s="24"/>
      <c r="B451" s="25"/>
      <c r="C451" s="26"/>
      <c r="D451" s="25"/>
      <c r="E451" s="24"/>
      <c r="F451" s="24"/>
      <c r="G451" s="24"/>
    </row>
    <row r="452">
      <c r="A452" s="24"/>
      <c r="B452" s="25"/>
      <c r="C452" s="26"/>
      <c r="D452" s="25"/>
      <c r="E452" s="24"/>
      <c r="F452" s="24"/>
      <c r="G452" s="24"/>
    </row>
    <row r="453">
      <c r="A453" s="24"/>
      <c r="B453" s="25"/>
      <c r="C453" s="26"/>
      <c r="D453" s="25"/>
      <c r="E453" s="24"/>
      <c r="F453" s="24"/>
      <c r="G453" s="24"/>
    </row>
    <row r="454">
      <c r="A454" s="24"/>
      <c r="B454" s="25"/>
      <c r="C454" s="26"/>
      <c r="D454" s="25"/>
      <c r="E454" s="24"/>
      <c r="F454" s="24"/>
      <c r="G454" s="24"/>
    </row>
    <row r="455">
      <c r="A455" s="24"/>
      <c r="B455" s="25"/>
      <c r="C455" s="26"/>
      <c r="D455" s="25"/>
      <c r="E455" s="24"/>
      <c r="F455" s="24"/>
      <c r="G455" s="24"/>
    </row>
    <row r="456">
      <c r="A456" s="24"/>
      <c r="B456" s="25"/>
      <c r="C456" s="26"/>
      <c r="D456" s="25"/>
      <c r="E456" s="24"/>
      <c r="F456" s="24"/>
      <c r="G456" s="24"/>
    </row>
    <row r="457">
      <c r="A457" s="24"/>
      <c r="B457" s="25"/>
      <c r="C457" s="26"/>
      <c r="D457" s="25"/>
      <c r="E457" s="24"/>
      <c r="F457" s="24"/>
      <c r="G457" s="24"/>
    </row>
    <row r="458">
      <c r="A458" s="24"/>
      <c r="B458" s="25"/>
      <c r="C458" s="26"/>
      <c r="D458" s="25"/>
      <c r="E458" s="24"/>
      <c r="F458" s="24"/>
      <c r="G458" s="24"/>
    </row>
    <row r="459">
      <c r="A459" s="24"/>
      <c r="B459" s="25"/>
      <c r="C459" s="26"/>
      <c r="D459" s="25"/>
      <c r="E459" s="24"/>
      <c r="F459" s="24"/>
      <c r="G459" s="24"/>
    </row>
    <row r="460">
      <c r="A460" s="24"/>
      <c r="B460" s="25"/>
      <c r="C460" s="26"/>
      <c r="D460" s="25"/>
      <c r="E460" s="24"/>
      <c r="F460" s="24"/>
      <c r="G460" s="24"/>
    </row>
    <row r="461">
      <c r="A461" s="24"/>
      <c r="B461" s="25"/>
      <c r="C461" s="26"/>
      <c r="D461" s="25"/>
      <c r="E461" s="24"/>
      <c r="F461" s="24"/>
      <c r="G461" s="24"/>
    </row>
    <row r="462">
      <c r="A462" s="24"/>
      <c r="B462" s="25"/>
      <c r="C462" s="26"/>
      <c r="D462" s="25"/>
      <c r="E462" s="24"/>
      <c r="F462" s="24"/>
      <c r="G462" s="24"/>
    </row>
    <row r="463">
      <c r="A463" s="24"/>
      <c r="B463" s="25"/>
      <c r="C463" s="26"/>
      <c r="D463" s="25"/>
      <c r="E463" s="24"/>
      <c r="F463" s="24"/>
      <c r="G463" s="24"/>
    </row>
    <row r="464">
      <c r="A464" s="24"/>
      <c r="B464" s="25"/>
      <c r="C464" s="26"/>
      <c r="D464" s="25"/>
      <c r="E464" s="24"/>
      <c r="F464" s="24"/>
      <c r="G464" s="24"/>
    </row>
    <row r="465">
      <c r="A465" s="24"/>
      <c r="B465" s="25"/>
      <c r="C465" s="26"/>
      <c r="D465" s="25"/>
      <c r="E465" s="24"/>
      <c r="F465" s="24"/>
      <c r="G465" s="24"/>
    </row>
    <row r="466">
      <c r="A466" s="24"/>
      <c r="B466" s="25"/>
      <c r="C466" s="26"/>
      <c r="D466" s="25"/>
      <c r="E466" s="24"/>
      <c r="F466" s="24"/>
      <c r="G466" s="24"/>
    </row>
    <row r="467">
      <c r="A467" s="24"/>
      <c r="B467" s="25"/>
      <c r="C467" s="26"/>
      <c r="D467" s="25"/>
      <c r="E467" s="24"/>
      <c r="F467" s="24"/>
      <c r="G467" s="24"/>
    </row>
    <row r="468">
      <c r="A468" s="24"/>
      <c r="B468" s="25"/>
      <c r="C468" s="26"/>
      <c r="D468" s="25"/>
      <c r="E468" s="24"/>
      <c r="F468" s="24"/>
      <c r="G468" s="24"/>
    </row>
    <row r="469">
      <c r="A469" s="24"/>
      <c r="B469" s="25"/>
      <c r="C469" s="26"/>
      <c r="D469" s="25"/>
      <c r="E469" s="24"/>
      <c r="F469" s="24"/>
      <c r="G469" s="24"/>
    </row>
    <row r="470">
      <c r="A470" s="24"/>
      <c r="B470" s="25"/>
      <c r="C470" s="26"/>
      <c r="D470" s="25"/>
      <c r="E470" s="24"/>
      <c r="F470" s="24"/>
      <c r="G470" s="24"/>
    </row>
    <row r="471">
      <c r="A471" s="24"/>
      <c r="B471" s="25"/>
      <c r="C471" s="26"/>
      <c r="D471" s="25"/>
      <c r="E471" s="24"/>
      <c r="F471" s="24"/>
      <c r="G471" s="24"/>
    </row>
    <row r="472">
      <c r="A472" s="24"/>
      <c r="B472" s="7"/>
      <c r="C472" s="27"/>
      <c r="D472" s="7"/>
      <c r="E472" s="24"/>
      <c r="F472" s="24"/>
      <c r="G472" s="24"/>
    </row>
    <row r="473">
      <c r="A473" s="24"/>
      <c r="B473" s="25"/>
      <c r="C473" s="26"/>
      <c r="D473" s="25"/>
      <c r="E473" s="24"/>
      <c r="F473" s="23"/>
      <c r="G473" s="23"/>
    </row>
    <row r="474">
      <c r="A474" s="24"/>
      <c r="B474" s="25"/>
      <c r="C474" s="26"/>
      <c r="D474" s="25"/>
      <c r="E474" s="24"/>
      <c r="F474" s="23"/>
      <c r="G474" s="23"/>
    </row>
    <row r="475">
      <c r="A475" s="24"/>
      <c r="B475" s="25"/>
      <c r="C475" s="26"/>
      <c r="D475" s="25"/>
      <c r="E475" s="24"/>
      <c r="F475" s="23"/>
      <c r="G475" s="23"/>
    </row>
    <row r="476">
      <c r="A476" s="24"/>
      <c r="B476" s="25"/>
      <c r="C476" s="26"/>
      <c r="D476" s="25"/>
      <c r="E476" s="24"/>
      <c r="F476" s="23"/>
      <c r="G476" s="23"/>
    </row>
    <row r="477">
      <c r="A477" s="24"/>
      <c r="B477" s="25"/>
      <c r="C477" s="26"/>
      <c r="D477" s="25"/>
      <c r="E477" s="24"/>
      <c r="F477" s="23"/>
      <c r="G477" s="23"/>
    </row>
    <row r="478">
      <c r="A478" s="24"/>
      <c r="B478" s="25"/>
      <c r="C478" s="26"/>
      <c r="D478" s="25"/>
      <c r="E478" s="24"/>
      <c r="F478" s="23"/>
      <c r="G478" s="23"/>
    </row>
    <row r="479">
      <c r="A479" s="24"/>
      <c r="B479" s="25"/>
      <c r="C479" s="26"/>
      <c r="D479" s="25"/>
      <c r="E479" s="24"/>
      <c r="F479" s="23"/>
      <c r="G479" s="23"/>
    </row>
    <row r="480">
      <c r="A480" s="24"/>
      <c r="B480" s="25"/>
      <c r="C480" s="26"/>
      <c r="D480" s="25"/>
      <c r="E480" s="24"/>
      <c r="F480" s="23"/>
      <c r="G480" s="23"/>
    </row>
    <row r="481">
      <c r="A481" s="24"/>
      <c r="B481" s="25"/>
      <c r="C481" s="26"/>
      <c r="D481" s="25"/>
      <c r="E481" s="24"/>
      <c r="F481" s="28">
        <v>26.0</v>
      </c>
      <c r="G481" s="23" t="s">
        <v>340</v>
      </c>
    </row>
    <row r="482">
      <c r="A482" s="24"/>
      <c r="B482" s="25"/>
      <c r="C482" s="26"/>
      <c r="D482" s="25"/>
      <c r="E482" s="24"/>
      <c r="F482" s="24"/>
      <c r="G482" s="24"/>
    </row>
    <row r="483">
      <c r="A483" s="24"/>
      <c r="B483" s="25"/>
      <c r="C483" s="26"/>
      <c r="D483" s="25"/>
      <c r="E483" s="24"/>
      <c r="F483" s="24"/>
      <c r="G483" s="24"/>
    </row>
    <row r="484">
      <c r="A484" s="24"/>
      <c r="B484" s="25"/>
      <c r="C484" s="26"/>
      <c r="D484" s="25"/>
      <c r="E484" s="24"/>
      <c r="F484" s="24"/>
      <c r="G484" s="24"/>
    </row>
    <row r="485">
      <c r="A485" s="24"/>
      <c r="B485" s="25"/>
      <c r="C485" s="26"/>
      <c r="D485" s="25"/>
      <c r="E485" s="24"/>
      <c r="F485" s="24"/>
      <c r="G485" s="24"/>
    </row>
    <row r="486">
      <c r="A486" s="24"/>
      <c r="B486" s="25"/>
      <c r="C486" s="26"/>
      <c r="D486" s="25"/>
      <c r="E486" s="24"/>
      <c r="F486" s="24"/>
      <c r="G486" s="24"/>
    </row>
    <row r="487">
      <c r="A487" s="24"/>
      <c r="B487" s="25"/>
      <c r="C487" s="26"/>
      <c r="D487" s="25"/>
      <c r="E487" s="24"/>
      <c r="F487" s="24"/>
      <c r="G487" s="24"/>
    </row>
    <row r="488">
      <c r="A488" s="24"/>
      <c r="B488" s="25"/>
      <c r="C488" s="26"/>
      <c r="D488" s="25"/>
      <c r="E488" s="24"/>
      <c r="F488" s="24"/>
      <c r="G488" s="24"/>
    </row>
    <row r="489">
      <c r="A489" s="24"/>
      <c r="B489" s="25"/>
      <c r="C489" s="26"/>
      <c r="D489" s="25"/>
      <c r="E489" s="24"/>
      <c r="F489" s="24"/>
      <c r="G489" s="24"/>
    </row>
    <row r="490">
      <c r="A490" s="24"/>
      <c r="B490" s="25"/>
      <c r="C490" s="26"/>
      <c r="D490" s="25"/>
      <c r="E490" s="24"/>
      <c r="F490" s="24"/>
      <c r="G490" s="24"/>
    </row>
    <row r="491">
      <c r="A491" s="24"/>
      <c r="B491" s="25"/>
      <c r="C491" s="26"/>
      <c r="D491" s="25"/>
      <c r="E491" s="24"/>
      <c r="F491" s="24"/>
      <c r="G491" s="24"/>
    </row>
    <row r="492">
      <c r="A492" s="24"/>
      <c r="B492" s="25"/>
      <c r="C492" s="26"/>
      <c r="D492" s="25"/>
      <c r="E492" s="24"/>
      <c r="F492" s="24"/>
      <c r="G492" s="24"/>
    </row>
    <row r="493">
      <c r="A493" s="24"/>
      <c r="B493" s="25"/>
      <c r="C493" s="26"/>
      <c r="D493" s="25"/>
      <c r="E493" s="24"/>
      <c r="F493" s="24"/>
      <c r="G493" s="24"/>
    </row>
    <row r="494">
      <c r="A494" s="24"/>
      <c r="B494" s="25"/>
      <c r="C494" s="26"/>
      <c r="D494" s="25"/>
      <c r="E494" s="24"/>
      <c r="F494" s="24"/>
      <c r="G494" s="24"/>
    </row>
    <row r="495">
      <c r="A495" s="24"/>
      <c r="B495" s="25"/>
      <c r="C495" s="26"/>
      <c r="D495" s="25"/>
      <c r="E495" s="24"/>
      <c r="F495" s="24"/>
      <c r="G495" s="24"/>
    </row>
    <row r="496">
      <c r="A496" s="24"/>
      <c r="B496" s="25"/>
      <c r="C496" s="26"/>
      <c r="D496" s="25"/>
      <c r="E496" s="24"/>
      <c r="F496" s="24"/>
      <c r="G496" s="24"/>
    </row>
    <row r="497">
      <c r="A497" s="24"/>
      <c r="B497" s="25"/>
      <c r="C497" s="26"/>
      <c r="D497" s="25"/>
      <c r="E497" s="24"/>
      <c r="F497" s="24"/>
      <c r="G497" s="24"/>
    </row>
    <row r="498">
      <c r="A498" s="24"/>
      <c r="B498" s="25"/>
      <c r="C498" s="26"/>
      <c r="D498" s="25"/>
      <c r="E498" s="24"/>
      <c r="F498" s="24"/>
      <c r="G498" s="24"/>
    </row>
    <row r="499">
      <c r="A499" s="24"/>
      <c r="B499" s="25"/>
      <c r="C499" s="26"/>
      <c r="D499" s="25"/>
      <c r="E499" s="24"/>
      <c r="F499" s="24"/>
      <c r="G499" s="24"/>
    </row>
    <row r="500">
      <c r="A500" s="24"/>
      <c r="B500" s="25"/>
      <c r="C500" s="26"/>
      <c r="D500" s="25"/>
      <c r="E500" s="24"/>
      <c r="F500" s="24"/>
      <c r="G500" s="24"/>
    </row>
    <row r="501">
      <c r="A501" s="24"/>
      <c r="B501" s="25"/>
      <c r="C501" s="26"/>
      <c r="D501" s="25"/>
      <c r="E501" s="24"/>
      <c r="F501" s="24"/>
      <c r="G501" s="24"/>
    </row>
    <row r="502">
      <c r="A502" s="24"/>
      <c r="B502" s="25"/>
      <c r="C502" s="26"/>
      <c r="D502" s="25"/>
      <c r="E502" s="24"/>
      <c r="F502" s="24"/>
      <c r="G502" s="24"/>
    </row>
    <row r="503">
      <c r="A503" s="24"/>
      <c r="B503" s="25"/>
      <c r="C503" s="26"/>
      <c r="D503" s="25"/>
      <c r="E503" s="24"/>
      <c r="F503" s="24"/>
      <c r="G503" s="24"/>
    </row>
    <row r="504">
      <c r="A504" s="24"/>
      <c r="B504" s="25"/>
      <c r="C504" s="26"/>
      <c r="D504" s="25"/>
      <c r="E504" s="24"/>
      <c r="F504" s="24"/>
      <c r="G504" s="24"/>
    </row>
    <row r="505">
      <c r="A505" s="24"/>
      <c r="B505" s="25"/>
      <c r="C505" s="26"/>
      <c r="D505" s="25"/>
      <c r="E505" s="24"/>
      <c r="F505" s="24"/>
      <c r="G505" s="24"/>
    </row>
    <row r="506">
      <c r="A506" s="24"/>
      <c r="B506" s="25"/>
      <c r="C506" s="26"/>
      <c r="D506" s="25"/>
      <c r="E506" s="24"/>
      <c r="F506" s="24"/>
      <c r="G506" s="24"/>
    </row>
    <row r="507">
      <c r="A507" s="24"/>
      <c r="B507" s="25"/>
      <c r="C507" s="26"/>
      <c r="D507" s="25"/>
      <c r="E507" s="24"/>
      <c r="F507" s="24"/>
      <c r="G507" s="24"/>
    </row>
    <row r="508">
      <c r="A508" s="24"/>
      <c r="B508" s="25"/>
      <c r="C508" s="26"/>
      <c r="D508" s="25"/>
      <c r="E508" s="24"/>
      <c r="F508" s="24"/>
      <c r="G508" s="24"/>
    </row>
    <row r="509">
      <c r="A509" s="24"/>
      <c r="B509" s="25"/>
      <c r="C509" s="26"/>
      <c r="D509" s="25"/>
      <c r="E509" s="24"/>
      <c r="F509" s="24"/>
      <c r="G509" s="24"/>
    </row>
    <row r="510">
      <c r="A510" s="24"/>
      <c r="B510" s="25"/>
      <c r="C510" s="26"/>
      <c r="D510" s="25"/>
      <c r="E510" s="24"/>
      <c r="F510" s="24"/>
      <c r="G510" s="24"/>
    </row>
    <row r="511">
      <c r="A511" s="24"/>
      <c r="B511" s="25"/>
      <c r="C511" s="26"/>
      <c r="D511" s="25"/>
      <c r="E511" s="24"/>
      <c r="F511" s="24"/>
      <c r="G511" s="24"/>
    </row>
    <row r="512">
      <c r="A512" s="24"/>
      <c r="B512" s="25"/>
      <c r="C512" s="26"/>
      <c r="D512" s="25"/>
      <c r="E512" s="24"/>
      <c r="F512" s="24"/>
      <c r="G512" s="24"/>
    </row>
    <row r="513">
      <c r="A513" s="24"/>
      <c r="B513" s="25"/>
      <c r="C513" s="26"/>
      <c r="D513" s="25"/>
      <c r="E513" s="24"/>
      <c r="F513" s="24"/>
      <c r="G513" s="24"/>
    </row>
    <row r="514">
      <c r="A514" s="24"/>
      <c r="B514" s="25"/>
      <c r="C514" s="26"/>
      <c r="D514" s="25"/>
      <c r="E514" s="24"/>
      <c r="F514" s="24"/>
      <c r="G514" s="24"/>
    </row>
    <row r="515">
      <c r="A515" s="24"/>
      <c r="B515" s="25"/>
      <c r="C515" s="26"/>
      <c r="D515" s="25"/>
      <c r="E515" s="24"/>
      <c r="F515" s="24"/>
      <c r="G515" s="24"/>
    </row>
    <row r="516">
      <c r="A516" s="24"/>
      <c r="B516" s="25"/>
      <c r="C516" s="26"/>
      <c r="D516" s="25"/>
      <c r="E516" s="24"/>
      <c r="F516" s="24"/>
      <c r="G516" s="24"/>
    </row>
    <row r="517">
      <c r="A517" s="24"/>
      <c r="B517" s="25"/>
      <c r="C517" s="26"/>
      <c r="D517" s="25"/>
      <c r="E517" s="24"/>
      <c r="F517" s="24"/>
      <c r="G517" s="24"/>
    </row>
    <row r="518">
      <c r="A518" s="24"/>
      <c r="B518" s="25"/>
      <c r="C518" s="26"/>
      <c r="D518" s="25"/>
      <c r="E518" s="24"/>
      <c r="F518" s="24"/>
      <c r="G518" s="24"/>
    </row>
    <row r="519">
      <c r="A519" s="24"/>
      <c r="B519" s="25"/>
      <c r="C519" s="26"/>
      <c r="D519" s="25"/>
      <c r="E519" s="24"/>
      <c r="F519" s="24"/>
      <c r="G519" s="24"/>
    </row>
    <row r="520">
      <c r="A520" s="24"/>
      <c r="B520" s="25"/>
      <c r="C520" s="26"/>
      <c r="D520" s="25"/>
      <c r="E520" s="24"/>
      <c r="F520" s="24"/>
      <c r="G520" s="24"/>
    </row>
    <row r="521">
      <c r="A521" s="24"/>
      <c r="B521" s="25"/>
      <c r="C521" s="26"/>
      <c r="D521" s="25"/>
      <c r="E521" s="24"/>
      <c r="F521" s="24"/>
      <c r="G521" s="24"/>
    </row>
    <row r="522">
      <c r="A522" s="24"/>
      <c r="B522" s="25"/>
      <c r="C522" s="26"/>
      <c r="D522" s="25"/>
      <c r="E522" s="24"/>
      <c r="F522" s="24"/>
      <c r="G522" s="24"/>
    </row>
    <row r="523">
      <c r="A523" s="24"/>
      <c r="B523" s="25"/>
      <c r="C523" s="26"/>
      <c r="D523" s="25"/>
      <c r="E523" s="24"/>
      <c r="F523" s="24"/>
      <c r="G523" s="24"/>
    </row>
    <row r="524">
      <c r="A524" s="24"/>
      <c r="B524" s="25"/>
      <c r="C524" s="26"/>
      <c r="D524" s="25"/>
      <c r="E524" s="24"/>
      <c r="F524" s="24"/>
      <c r="G524" s="24"/>
    </row>
    <row r="525">
      <c r="A525" s="24"/>
      <c r="B525" s="25"/>
      <c r="C525" s="26"/>
      <c r="D525" s="25"/>
      <c r="E525" s="24"/>
      <c r="F525" s="24"/>
      <c r="G525" s="24"/>
    </row>
    <row r="526">
      <c r="A526" s="24"/>
      <c r="B526" s="25"/>
      <c r="C526" s="26"/>
      <c r="D526" s="25"/>
      <c r="E526" s="24"/>
      <c r="F526" s="24"/>
      <c r="G526" s="24"/>
    </row>
    <row r="527">
      <c r="A527" s="24"/>
      <c r="B527" s="25"/>
      <c r="C527" s="26"/>
      <c r="D527" s="25"/>
      <c r="E527" s="24"/>
      <c r="F527" s="24"/>
      <c r="G527" s="24"/>
    </row>
    <row r="528">
      <c r="A528" s="24"/>
      <c r="B528" s="25"/>
      <c r="C528" s="26"/>
      <c r="D528" s="25"/>
      <c r="E528" s="24"/>
      <c r="F528" s="24"/>
      <c r="G528" s="24"/>
    </row>
    <row r="529">
      <c r="A529" s="24"/>
      <c r="B529" s="25"/>
      <c r="C529" s="26"/>
      <c r="D529" s="25"/>
      <c r="E529" s="24"/>
      <c r="F529" s="24"/>
      <c r="G529" s="24"/>
    </row>
    <row r="530">
      <c r="A530" s="24"/>
      <c r="B530" s="25"/>
      <c r="C530" s="26"/>
      <c r="D530" s="25"/>
      <c r="E530" s="24"/>
      <c r="F530" s="24"/>
      <c r="G530" s="24"/>
    </row>
    <row r="531">
      <c r="A531" s="24"/>
      <c r="B531" s="25"/>
      <c r="C531" s="26"/>
      <c r="D531" s="25"/>
      <c r="E531" s="24"/>
      <c r="F531" s="24"/>
      <c r="G531" s="24"/>
    </row>
    <row r="532">
      <c r="A532" s="24"/>
      <c r="B532" s="25"/>
      <c r="C532" s="26"/>
      <c r="D532" s="25"/>
      <c r="E532" s="24"/>
      <c r="F532" s="24"/>
      <c r="G532" s="24"/>
    </row>
    <row r="533">
      <c r="A533" s="24"/>
      <c r="B533" s="25"/>
      <c r="C533" s="26"/>
      <c r="D533" s="25"/>
      <c r="E533" s="24"/>
      <c r="F533" s="24"/>
      <c r="G533" s="24"/>
    </row>
    <row r="534">
      <c r="A534" s="24"/>
      <c r="B534" s="25"/>
      <c r="C534" s="26"/>
      <c r="D534" s="25"/>
      <c r="E534" s="24"/>
      <c r="F534" s="24"/>
      <c r="G534" s="24"/>
    </row>
    <row r="535">
      <c r="A535" s="24"/>
      <c r="B535" s="25"/>
      <c r="C535" s="26"/>
      <c r="D535" s="25"/>
      <c r="E535" s="24"/>
      <c r="F535" s="24"/>
      <c r="G535" s="24"/>
    </row>
    <row r="536">
      <c r="A536" s="24"/>
      <c r="B536" s="25"/>
      <c r="C536" s="26"/>
      <c r="D536" s="25"/>
      <c r="E536" s="24"/>
      <c r="F536" s="24"/>
      <c r="G536" s="24"/>
    </row>
    <row r="537">
      <c r="A537" s="24"/>
      <c r="B537" s="25"/>
      <c r="C537" s="26"/>
      <c r="D537" s="25"/>
      <c r="E537" s="24"/>
      <c r="F537" s="24"/>
      <c r="G537" s="24"/>
    </row>
    <row r="538">
      <c r="A538" s="24"/>
      <c r="B538" s="25"/>
      <c r="C538" s="26"/>
      <c r="D538" s="25"/>
      <c r="E538" s="24"/>
      <c r="F538" s="24"/>
      <c r="G538" s="24"/>
    </row>
    <row r="539">
      <c r="A539" s="24"/>
      <c r="B539" s="25"/>
      <c r="C539" s="26"/>
      <c r="D539" s="25"/>
      <c r="E539" s="24"/>
      <c r="F539" s="24"/>
      <c r="G539" s="24"/>
    </row>
    <row r="540">
      <c r="A540" s="24"/>
      <c r="B540" s="25"/>
      <c r="C540" s="26"/>
      <c r="D540" s="25"/>
      <c r="E540" s="24"/>
      <c r="F540" s="24"/>
      <c r="G540" s="24"/>
    </row>
    <row r="541">
      <c r="A541" s="24"/>
      <c r="B541" s="25"/>
      <c r="C541" s="26"/>
      <c r="D541" s="25"/>
      <c r="E541" s="24"/>
      <c r="F541" s="24"/>
      <c r="G541" s="24"/>
    </row>
    <row r="542">
      <c r="A542" s="24"/>
      <c r="B542" s="25"/>
      <c r="C542" s="26"/>
      <c r="D542" s="25"/>
      <c r="E542" s="24"/>
      <c r="F542" s="24"/>
      <c r="G542" s="24"/>
    </row>
    <row r="543">
      <c r="A543" s="24"/>
      <c r="B543" s="25"/>
      <c r="C543" s="26"/>
      <c r="D543" s="25"/>
      <c r="E543" s="24"/>
      <c r="F543" s="24"/>
      <c r="G543" s="24"/>
    </row>
    <row r="544">
      <c r="A544" s="24"/>
      <c r="B544" s="25"/>
      <c r="C544" s="26"/>
      <c r="D544" s="25"/>
      <c r="E544" s="24"/>
      <c r="F544" s="24"/>
      <c r="G544" s="24"/>
    </row>
    <row r="545">
      <c r="A545" s="24"/>
      <c r="B545" s="25"/>
      <c r="C545" s="26"/>
      <c r="D545" s="25"/>
      <c r="E545" s="24"/>
      <c r="F545" s="24"/>
      <c r="G545" s="24"/>
    </row>
    <row r="546">
      <c r="A546" s="24"/>
      <c r="B546" s="25"/>
      <c r="C546" s="26"/>
      <c r="D546" s="25"/>
      <c r="E546" s="24"/>
      <c r="F546" s="24"/>
      <c r="G546" s="24"/>
    </row>
    <row r="547">
      <c r="A547" s="24"/>
      <c r="B547" s="25"/>
      <c r="C547" s="26"/>
      <c r="D547" s="25"/>
      <c r="E547" s="24"/>
      <c r="F547" s="24"/>
      <c r="G547" s="24"/>
    </row>
    <row r="548">
      <c r="A548" s="24"/>
      <c r="B548" s="25"/>
      <c r="C548" s="26"/>
      <c r="D548" s="25"/>
      <c r="E548" s="24"/>
      <c r="F548" s="24"/>
      <c r="G548" s="24"/>
    </row>
    <row r="549">
      <c r="A549" s="24"/>
      <c r="B549" s="25"/>
      <c r="C549" s="26"/>
      <c r="D549" s="25"/>
      <c r="E549" s="24"/>
      <c r="F549" s="24"/>
      <c r="G549" s="24"/>
    </row>
    <row r="550">
      <c r="A550" s="24"/>
      <c r="B550" s="25"/>
      <c r="C550" s="26"/>
      <c r="D550" s="25"/>
      <c r="E550" s="24"/>
      <c r="F550" s="24"/>
      <c r="G550" s="24"/>
    </row>
    <row r="551">
      <c r="A551" s="24"/>
      <c r="B551" s="25"/>
      <c r="C551" s="26"/>
      <c r="D551" s="25"/>
      <c r="E551" s="24"/>
      <c r="F551" s="24"/>
      <c r="G551" s="24"/>
    </row>
    <row r="552">
      <c r="A552" s="24"/>
      <c r="B552" s="25"/>
      <c r="C552" s="26"/>
      <c r="D552" s="25"/>
      <c r="E552" s="24"/>
      <c r="F552" s="24"/>
      <c r="G552" s="24"/>
    </row>
    <row r="553">
      <c r="A553" s="24"/>
      <c r="B553" s="25"/>
      <c r="C553" s="26"/>
      <c r="D553" s="25"/>
      <c r="E553" s="24"/>
      <c r="F553" s="24"/>
      <c r="G553" s="24"/>
    </row>
    <row r="554">
      <c r="A554" s="24"/>
      <c r="B554" s="25"/>
      <c r="C554" s="26"/>
      <c r="D554" s="25"/>
      <c r="E554" s="24"/>
      <c r="F554" s="24"/>
      <c r="G554" s="24"/>
    </row>
    <row r="555">
      <c r="A555" s="24"/>
      <c r="B555" s="25"/>
      <c r="C555" s="26"/>
      <c r="D555" s="25"/>
      <c r="E555" s="24"/>
      <c r="F555" s="24"/>
      <c r="G555" s="24"/>
    </row>
    <row r="556">
      <c r="A556" s="24"/>
      <c r="B556" s="25"/>
      <c r="C556" s="26"/>
      <c r="D556" s="25"/>
      <c r="E556" s="24"/>
      <c r="F556" s="24"/>
      <c r="G556" s="24"/>
    </row>
    <row r="557">
      <c r="A557" s="24"/>
      <c r="B557" s="25"/>
      <c r="C557" s="26"/>
      <c r="D557" s="25"/>
      <c r="E557" s="24"/>
      <c r="F557" s="24"/>
      <c r="G557" s="24"/>
    </row>
    <row r="558">
      <c r="A558" s="24"/>
      <c r="B558" s="25"/>
      <c r="C558" s="26"/>
      <c r="D558" s="25"/>
      <c r="E558" s="24"/>
      <c r="F558" s="24"/>
      <c r="G558" s="24"/>
    </row>
    <row r="559">
      <c r="A559" s="24"/>
      <c r="B559" s="25"/>
      <c r="C559" s="26"/>
      <c r="D559" s="25"/>
      <c r="E559" s="24"/>
      <c r="F559" s="24"/>
      <c r="G559" s="24"/>
    </row>
    <row r="560">
      <c r="A560" s="24"/>
      <c r="B560" s="25"/>
      <c r="C560" s="26"/>
      <c r="D560" s="25"/>
      <c r="E560" s="24"/>
      <c r="F560" s="24"/>
      <c r="G560" s="24"/>
    </row>
    <row r="561">
      <c r="A561" s="24"/>
      <c r="B561" s="25"/>
      <c r="C561" s="26"/>
      <c r="D561" s="25"/>
      <c r="E561" s="24"/>
      <c r="F561" s="24"/>
      <c r="G561" s="24"/>
    </row>
    <row r="562">
      <c r="A562" s="24"/>
      <c r="B562" s="25"/>
      <c r="C562" s="26"/>
      <c r="D562" s="25"/>
      <c r="E562" s="24"/>
      <c r="F562" s="24"/>
      <c r="G562" s="24"/>
    </row>
    <row r="563">
      <c r="A563" s="24"/>
      <c r="B563" s="25"/>
      <c r="C563" s="26"/>
      <c r="D563" s="25"/>
      <c r="E563" s="24"/>
      <c r="F563" s="24"/>
      <c r="G563" s="24"/>
    </row>
    <row r="564">
      <c r="A564" s="24"/>
      <c r="B564" s="25"/>
      <c r="C564" s="26"/>
      <c r="D564" s="25"/>
      <c r="E564" s="24"/>
      <c r="F564" s="24"/>
      <c r="G564" s="24"/>
    </row>
    <row r="565">
      <c r="A565" s="24"/>
      <c r="B565" s="25"/>
      <c r="C565" s="26"/>
      <c r="D565" s="25"/>
      <c r="E565" s="24"/>
      <c r="F565" s="24"/>
      <c r="G565" s="24"/>
    </row>
    <row r="566">
      <c r="A566" s="24"/>
      <c r="B566" s="25"/>
      <c r="C566" s="26"/>
      <c r="D566" s="25"/>
      <c r="E566" s="24"/>
      <c r="F566" s="24"/>
      <c r="G566" s="24"/>
    </row>
    <row r="567">
      <c r="A567" s="24"/>
      <c r="B567" s="25"/>
      <c r="C567" s="26"/>
      <c r="D567" s="25"/>
      <c r="E567" s="24"/>
      <c r="F567" s="24"/>
      <c r="G567" s="24"/>
    </row>
    <row r="568">
      <c r="A568" s="24"/>
      <c r="B568" s="25"/>
      <c r="C568" s="26"/>
      <c r="D568" s="25"/>
      <c r="E568" s="24"/>
      <c r="F568" s="24"/>
      <c r="G568" s="24"/>
    </row>
    <row r="569">
      <c r="A569" s="24"/>
      <c r="B569" s="25"/>
      <c r="C569" s="26"/>
      <c r="D569" s="25"/>
      <c r="E569" s="24"/>
      <c r="F569" s="24"/>
      <c r="G569" s="24"/>
    </row>
    <row r="570">
      <c r="A570" s="24"/>
      <c r="B570" s="25"/>
      <c r="C570" s="26"/>
      <c r="D570" s="25"/>
      <c r="E570" s="24"/>
      <c r="F570" s="24"/>
      <c r="G570" s="24"/>
    </row>
    <row r="571">
      <c r="A571" s="24"/>
      <c r="B571" s="25"/>
      <c r="C571" s="26"/>
      <c r="D571" s="25"/>
      <c r="E571" s="24"/>
      <c r="F571" s="24"/>
      <c r="G571" s="24"/>
    </row>
    <row r="572">
      <c r="A572" s="24"/>
      <c r="B572" s="25"/>
      <c r="C572" s="26"/>
      <c r="D572" s="25"/>
      <c r="E572" s="24"/>
      <c r="F572" s="24"/>
      <c r="G572" s="24"/>
    </row>
    <row r="573">
      <c r="A573" s="24"/>
      <c r="B573" s="25"/>
      <c r="C573" s="26"/>
      <c r="D573" s="25"/>
      <c r="E573" s="24"/>
      <c r="F573" s="24"/>
      <c r="G573" s="24"/>
    </row>
    <row r="574">
      <c r="A574" s="24"/>
      <c r="B574" s="25"/>
      <c r="C574" s="26"/>
      <c r="D574" s="25"/>
      <c r="E574" s="24"/>
      <c r="F574" s="24"/>
      <c r="G574" s="24"/>
    </row>
    <row r="575">
      <c r="A575" s="24"/>
      <c r="B575" s="25"/>
      <c r="C575" s="26"/>
      <c r="D575" s="25"/>
      <c r="E575" s="24"/>
      <c r="F575" s="24"/>
      <c r="G575" s="24"/>
    </row>
    <row r="576">
      <c r="A576" s="24"/>
      <c r="B576" s="25"/>
      <c r="C576" s="26"/>
      <c r="D576" s="25"/>
      <c r="E576" s="24"/>
      <c r="F576" s="24"/>
      <c r="G576" s="24"/>
    </row>
    <row r="577">
      <c r="A577" s="24"/>
      <c r="B577" s="25"/>
      <c r="C577" s="26"/>
      <c r="D577" s="25"/>
      <c r="E577" s="24"/>
      <c r="F577" s="24"/>
      <c r="G577" s="24"/>
    </row>
    <row r="578">
      <c r="A578" s="24"/>
      <c r="B578" s="25"/>
      <c r="C578" s="26"/>
      <c r="D578" s="25"/>
      <c r="E578" s="24"/>
      <c r="F578" s="24"/>
      <c r="G578" s="24"/>
    </row>
    <row r="579">
      <c r="A579" s="24"/>
      <c r="B579" s="25"/>
      <c r="C579" s="26"/>
      <c r="D579" s="25"/>
      <c r="E579" s="24"/>
      <c r="F579" s="24"/>
      <c r="G579" s="24"/>
    </row>
    <row r="580">
      <c r="A580" s="24"/>
      <c r="B580" s="25"/>
      <c r="C580" s="26"/>
      <c r="D580" s="25"/>
      <c r="E580" s="24"/>
      <c r="F580" s="24"/>
      <c r="G580" s="24"/>
    </row>
    <row r="581">
      <c r="A581" s="24"/>
      <c r="B581" s="25"/>
      <c r="C581" s="26"/>
      <c r="D581" s="25"/>
      <c r="E581" s="24"/>
      <c r="F581" s="24"/>
      <c r="G581" s="24"/>
    </row>
    <row r="582">
      <c r="A582" s="24"/>
      <c r="B582" s="25"/>
      <c r="C582" s="26"/>
      <c r="D582" s="25"/>
      <c r="E582" s="24"/>
      <c r="F582" s="24"/>
      <c r="G582" s="24"/>
    </row>
    <row r="583">
      <c r="A583" s="24"/>
      <c r="B583" s="25"/>
      <c r="C583" s="26"/>
      <c r="D583" s="25"/>
      <c r="E583" s="24"/>
      <c r="F583" s="24"/>
      <c r="G583" s="24"/>
    </row>
    <row r="584">
      <c r="A584" s="24"/>
      <c r="B584" s="25"/>
      <c r="C584" s="26"/>
      <c r="D584" s="25"/>
      <c r="E584" s="24"/>
      <c r="F584" s="24"/>
      <c r="G584" s="24"/>
    </row>
    <row r="585">
      <c r="A585" s="24"/>
      <c r="B585" s="25"/>
      <c r="C585" s="26"/>
      <c r="D585" s="25"/>
      <c r="E585" s="24"/>
      <c r="F585" s="24"/>
      <c r="G585" s="24"/>
    </row>
    <row r="586">
      <c r="A586" s="24"/>
      <c r="B586" s="25"/>
      <c r="C586" s="26"/>
      <c r="D586" s="25"/>
      <c r="E586" s="24"/>
      <c r="F586" s="24"/>
      <c r="G586" s="24"/>
    </row>
    <row r="587">
      <c r="A587" s="24"/>
      <c r="B587" s="25"/>
      <c r="C587" s="26"/>
      <c r="D587" s="25"/>
      <c r="E587" s="24"/>
      <c r="F587" s="24"/>
      <c r="G587" s="24"/>
    </row>
    <row r="588">
      <c r="A588" s="24"/>
      <c r="B588" s="25"/>
      <c r="C588" s="26"/>
      <c r="D588" s="25"/>
      <c r="E588" s="24"/>
      <c r="F588" s="24"/>
      <c r="G588" s="24"/>
    </row>
    <row r="589">
      <c r="A589" s="24"/>
      <c r="B589" s="25"/>
      <c r="C589" s="26"/>
      <c r="D589" s="25"/>
      <c r="E589" s="24"/>
      <c r="F589" s="24"/>
      <c r="G589" s="24"/>
    </row>
    <row r="590">
      <c r="A590" s="24"/>
      <c r="B590" s="25"/>
      <c r="C590" s="26"/>
      <c r="D590" s="25"/>
      <c r="E590" s="24"/>
      <c r="F590" s="24"/>
      <c r="G590" s="24"/>
    </row>
    <row r="591">
      <c r="A591" s="24"/>
      <c r="B591" s="25"/>
      <c r="C591" s="26"/>
      <c r="D591" s="25"/>
      <c r="E591" s="24"/>
      <c r="F591" s="24"/>
      <c r="G591" s="24"/>
    </row>
    <row r="592">
      <c r="A592" s="24"/>
      <c r="B592" s="25"/>
      <c r="C592" s="26"/>
      <c r="D592" s="25"/>
      <c r="E592" s="24"/>
      <c r="F592" s="24"/>
      <c r="G592" s="24"/>
    </row>
    <row r="593">
      <c r="A593" s="24"/>
      <c r="B593" s="25"/>
      <c r="C593" s="26"/>
      <c r="D593" s="25"/>
      <c r="E593" s="24"/>
      <c r="F593" s="24"/>
      <c r="G593" s="24"/>
    </row>
    <row r="594">
      <c r="A594" s="24"/>
      <c r="B594" s="25"/>
      <c r="C594" s="26"/>
      <c r="D594" s="25"/>
      <c r="E594" s="24"/>
      <c r="F594" s="24"/>
      <c r="G594" s="24"/>
    </row>
    <row r="595">
      <c r="A595" s="24"/>
      <c r="B595" s="25"/>
      <c r="C595" s="26"/>
      <c r="D595" s="25"/>
      <c r="E595" s="24"/>
      <c r="F595" s="24"/>
      <c r="G595" s="24"/>
    </row>
    <row r="596">
      <c r="A596" s="24"/>
      <c r="B596" s="25"/>
      <c r="C596" s="26"/>
      <c r="D596" s="25"/>
      <c r="E596" s="24"/>
      <c r="F596" s="24"/>
      <c r="G596" s="24"/>
    </row>
    <row r="597">
      <c r="A597" s="24"/>
      <c r="B597" s="25"/>
      <c r="C597" s="26"/>
      <c r="D597" s="25"/>
      <c r="E597" s="24"/>
      <c r="F597" s="24"/>
      <c r="G597" s="24"/>
    </row>
    <row r="598">
      <c r="A598" s="24"/>
      <c r="B598" s="25"/>
      <c r="C598" s="26"/>
      <c r="D598" s="25"/>
      <c r="E598" s="24"/>
      <c r="F598" s="24"/>
      <c r="G598" s="24"/>
    </row>
    <row r="599">
      <c r="A599" s="24"/>
      <c r="B599" s="25"/>
      <c r="C599" s="26"/>
      <c r="D599" s="25"/>
      <c r="E599" s="24"/>
      <c r="F599" s="24"/>
      <c r="G599" s="24"/>
    </row>
    <row r="600">
      <c r="A600" s="24"/>
      <c r="B600" s="25"/>
      <c r="C600" s="26"/>
      <c r="D600" s="25"/>
      <c r="E600" s="24"/>
      <c r="F600" s="24"/>
      <c r="G600" s="24"/>
    </row>
    <row r="601">
      <c r="A601" s="24"/>
      <c r="B601" s="25"/>
      <c r="C601" s="26"/>
      <c r="D601" s="25"/>
      <c r="E601" s="24"/>
      <c r="F601" s="24"/>
      <c r="G601" s="24"/>
    </row>
    <row r="602">
      <c r="A602" s="24"/>
      <c r="B602" s="25"/>
      <c r="C602" s="26"/>
      <c r="D602" s="25"/>
      <c r="E602" s="24"/>
      <c r="F602" s="24"/>
      <c r="G602" s="24"/>
    </row>
    <row r="603">
      <c r="A603" s="24"/>
      <c r="B603" s="25"/>
      <c r="C603" s="26"/>
      <c r="D603" s="25"/>
      <c r="E603" s="24"/>
      <c r="F603" s="24"/>
      <c r="G603" s="24"/>
    </row>
    <row r="604">
      <c r="A604" s="24"/>
      <c r="B604" s="25"/>
      <c r="C604" s="26"/>
      <c r="D604" s="25"/>
      <c r="E604" s="24"/>
      <c r="F604" s="24"/>
      <c r="G604" s="24"/>
    </row>
    <row r="605">
      <c r="A605" s="24"/>
      <c r="B605" s="25"/>
      <c r="C605" s="26"/>
      <c r="D605" s="25"/>
      <c r="E605" s="24"/>
      <c r="F605" s="24"/>
      <c r="G605" s="24"/>
    </row>
    <row r="606">
      <c r="A606" s="24"/>
      <c r="B606" s="25"/>
      <c r="C606" s="26"/>
      <c r="D606" s="25"/>
      <c r="E606" s="24"/>
      <c r="F606" s="24"/>
      <c r="G606" s="24"/>
    </row>
    <row r="607">
      <c r="A607" s="24"/>
      <c r="B607" s="25"/>
      <c r="C607" s="26"/>
      <c r="D607" s="25"/>
      <c r="E607" s="24"/>
      <c r="F607" s="24"/>
      <c r="G607" s="24"/>
    </row>
    <row r="608">
      <c r="A608" s="24"/>
      <c r="B608" s="25"/>
      <c r="C608" s="26"/>
      <c r="D608" s="25"/>
      <c r="E608" s="24"/>
      <c r="F608" s="24"/>
      <c r="G608" s="24"/>
    </row>
    <row r="609">
      <c r="A609" s="24"/>
      <c r="B609" s="25"/>
      <c r="C609" s="26"/>
      <c r="D609" s="25"/>
      <c r="E609" s="24"/>
      <c r="F609" s="24"/>
      <c r="G609" s="24"/>
    </row>
    <row r="610">
      <c r="A610" s="24"/>
      <c r="B610" s="25"/>
      <c r="C610" s="26"/>
      <c r="D610" s="25"/>
      <c r="E610" s="24"/>
      <c r="F610" s="24"/>
      <c r="G610" s="24"/>
    </row>
    <row r="611">
      <c r="A611" s="24"/>
      <c r="B611" s="25"/>
      <c r="C611" s="26"/>
      <c r="D611" s="25"/>
      <c r="E611" s="24"/>
      <c r="F611" s="24"/>
      <c r="G611" s="24"/>
    </row>
    <row r="612">
      <c r="A612" s="24"/>
      <c r="B612" s="25"/>
      <c r="C612" s="26"/>
      <c r="D612" s="25"/>
      <c r="E612" s="24"/>
      <c r="F612" s="24"/>
      <c r="G612" s="24"/>
    </row>
    <row r="613">
      <c r="A613" s="24"/>
      <c r="B613" s="25"/>
      <c r="C613" s="26"/>
      <c r="D613" s="25"/>
      <c r="E613" s="24"/>
      <c r="F613" s="24"/>
      <c r="G613" s="24"/>
    </row>
    <row r="614">
      <c r="A614" s="24"/>
      <c r="B614" s="25"/>
      <c r="C614" s="26"/>
      <c r="D614" s="25"/>
      <c r="E614" s="24"/>
      <c r="F614" s="24"/>
      <c r="G614" s="24"/>
    </row>
    <row r="615">
      <c r="A615" s="24"/>
      <c r="B615" s="25"/>
      <c r="C615" s="26"/>
      <c r="D615" s="25"/>
      <c r="E615" s="24"/>
      <c r="F615" s="24"/>
      <c r="G615" s="24"/>
    </row>
    <row r="616">
      <c r="A616" s="24"/>
      <c r="B616" s="25"/>
      <c r="C616" s="26"/>
      <c r="D616" s="25"/>
      <c r="E616" s="24"/>
      <c r="F616" s="24"/>
      <c r="G616" s="24"/>
    </row>
    <row r="617">
      <c r="A617" s="24"/>
      <c r="B617" s="25"/>
      <c r="C617" s="26"/>
      <c r="D617" s="25"/>
      <c r="E617" s="24"/>
      <c r="F617" s="24"/>
      <c r="G617" s="24"/>
    </row>
    <row r="618">
      <c r="A618" s="24"/>
      <c r="B618" s="25"/>
      <c r="C618" s="26"/>
      <c r="D618" s="25"/>
      <c r="E618" s="24"/>
      <c r="F618" s="24"/>
      <c r="G618" s="24"/>
    </row>
    <row r="619">
      <c r="A619" s="24"/>
      <c r="B619" s="25"/>
      <c r="C619" s="26"/>
      <c r="D619" s="25"/>
      <c r="E619" s="24"/>
      <c r="F619" s="24"/>
      <c r="G619" s="24"/>
    </row>
    <row r="620">
      <c r="A620" s="24"/>
      <c r="B620" s="25"/>
      <c r="C620" s="26"/>
      <c r="D620" s="25"/>
      <c r="E620" s="24"/>
      <c r="F620" s="24"/>
      <c r="G620" s="24"/>
    </row>
    <row r="621">
      <c r="A621" s="24"/>
      <c r="B621" s="25"/>
      <c r="C621" s="26"/>
      <c r="D621" s="25"/>
      <c r="E621" s="24"/>
      <c r="F621" s="24"/>
      <c r="G621" s="24"/>
    </row>
    <row r="622">
      <c r="A622" s="24"/>
      <c r="B622" s="25"/>
      <c r="C622" s="26"/>
      <c r="D622" s="25"/>
      <c r="E622" s="24"/>
      <c r="F622" s="24"/>
      <c r="G622" s="24"/>
    </row>
    <row r="623">
      <c r="A623" s="24"/>
      <c r="B623" s="25"/>
      <c r="C623" s="26"/>
      <c r="D623" s="25"/>
      <c r="E623" s="24"/>
      <c r="F623" s="24"/>
      <c r="G623" s="24"/>
    </row>
    <row r="624">
      <c r="A624" s="24"/>
      <c r="B624" s="25"/>
      <c r="C624" s="26"/>
      <c r="D624" s="25"/>
      <c r="E624" s="24"/>
      <c r="F624" s="24"/>
      <c r="G624" s="24"/>
    </row>
    <row r="625">
      <c r="A625" s="24"/>
      <c r="B625" s="25"/>
      <c r="C625" s="26"/>
      <c r="D625" s="25"/>
      <c r="E625" s="24"/>
      <c r="F625" s="24"/>
      <c r="G625" s="24"/>
    </row>
    <row r="626">
      <c r="A626" s="24"/>
      <c r="B626" s="25"/>
      <c r="C626" s="26"/>
      <c r="D626" s="25"/>
      <c r="E626" s="24"/>
      <c r="F626" s="24"/>
      <c r="G626" s="24"/>
    </row>
    <row r="627">
      <c r="A627" s="24"/>
      <c r="B627" s="25"/>
      <c r="C627" s="26"/>
      <c r="D627" s="25"/>
      <c r="E627" s="24"/>
      <c r="F627" s="24"/>
      <c r="G627" s="24"/>
    </row>
    <row r="628">
      <c r="A628" s="24"/>
      <c r="B628" s="25"/>
      <c r="C628" s="26"/>
      <c r="D628" s="25"/>
      <c r="E628" s="24"/>
      <c r="F628" s="24"/>
      <c r="G628" s="24"/>
    </row>
    <row r="629">
      <c r="A629" s="24"/>
      <c r="B629" s="25"/>
      <c r="C629" s="26"/>
      <c r="D629" s="25"/>
      <c r="E629" s="24"/>
      <c r="F629" s="24"/>
      <c r="G629" s="24"/>
    </row>
    <row r="630">
      <c r="A630" s="24"/>
      <c r="B630" s="25"/>
      <c r="C630" s="26"/>
      <c r="D630" s="25"/>
      <c r="E630" s="24"/>
      <c r="F630" s="24"/>
      <c r="G630" s="24"/>
    </row>
    <row r="631">
      <c r="A631" s="24"/>
      <c r="B631" s="25"/>
      <c r="C631" s="26"/>
      <c r="D631" s="25"/>
      <c r="E631" s="24"/>
      <c r="F631" s="24"/>
      <c r="G631" s="24"/>
    </row>
    <row r="632">
      <c r="A632" s="24"/>
      <c r="B632" s="25"/>
      <c r="C632" s="26"/>
      <c r="D632" s="25"/>
      <c r="E632" s="24"/>
      <c r="F632" s="24"/>
      <c r="G632" s="24"/>
    </row>
    <row r="633">
      <c r="A633" s="24"/>
      <c r="B633" s="25"/>
      <c r="C633" s="26"/>
      <c r="D633" s="25"/>
      <c r="E633" s="24"/>
      <c r="F633" s="24"/>
      <c r="G633" s="24"/>
    </row>
    <row r="634">
      <c r="A634" s="24"/>
      <c r="B634" s="25"/>
      <c r="C634" s="26"/>
      <c r="D634" s="25"/>
      <c r="E634" s="24"/>
      <c r="F634" s="24"/>
      <c r="G634" s="24"/>
    </row>
    <row r="635">
      <c r="A635" s="24"/>
      <c r="B635" s="25"/>
      <c r="C635" s="26"/>
      <c r="D635" s="25"/>
      <c r="E635" s="24"/>
      <c r="F635" s="24"/>
      <c r="G635" s="24"/>
    </row>
    <row r="636">
      <c r="A636" s="24"/>
      <c r="B636" s="25"/>
      <c r="C636" s="26"/>
      <c r="D636" s="25"/>
      <c r="E636" s="24"/>
      <c r="F636" s="24"/>
      <c r="G636" s="24"/>
    </row>
    <row r="637">
      <c r="A637" s="24"/>
      <c r="B637" s="25"/>
      <c r="C637" s="26"/>
      <c r="D637" s="25"/>
      <c r="E637" s="24"/>
      <c r="F637" s="24"/>
      <c r="G637" s="24"/>
    </row>
    <row r="638">
      <c r="A638" s="24"/>
      <c r="B638" s="25"/>
      <c r="C638" s="26"/>
      <c r="D638" s="25"/>
      <c r="E638" s="24"/>
      <c r="F638" s="24"/>
      <c r="G638" s="24"/>
    </row>
    <row r="639">
      <c r="A639" s="24"/>
      <c r="B639" s="25"/>
      <c r="C639" s="26"/>
      <c r="D639" s="25"/>
      <c r="E639" s="24"/>
      <c r="F639" s="24"/>
      <c r="G639" s="24"/>
    </row>
    <row r="640">
      <c r="A640" s="24"/>
      <c r="B640" s="25"/>
      <c r="C640" s="26"/>
      <c r="D640" s="25"/>
      <c r="E640" s="24"/>
      <c r="F640" s="24"/>
      <c r="G640" s="24"/>
    </row>
    <row r="641">
      <c r="A641" s="24"/>
      <c r="B641" s="25"/>
      <c r="C641" s="26"/>
      <c r="D641" s="25"/>
      <c r="E641" s="24"/>
      <c r="F641" s="24"/>
      <c r="G641" s="24"/>
    </row>
    <row r="642">
      <c r="A642" s="24"/>
      <c r="B642" s="25"/>
      <c r="C642" s="26"/>
      <c r="D642" s="25"/>
      <c r="E642" s="24"/>
      <c r="F642" s="24"/>
      <c r="G642" s="24"/>
    </row>
    <row r="643">
      <c r="A643" s="24"/>
      <c r="B643" s="25"/>
      <c r="C643" s="26"/>
      <c r="D643" s="25"/>
      <c r="E643" s="24"/>
      <c r="F643" s="24"/>
      <c r="G643" s="24"/>
    </row>
    <row r="644">
      <c r="A644" s="24"/>
      <c r="B644" s="25"/>
      <c r="C644" s="26"/>
      <c r="D644" s="25"/>
      <c r="E644" s="24"/>
      <c r="F644" s="24"/>
      <c r="G644" s="24"/>
    </row>
    <row r="645">
      <c r="A645" s="24"/>
      <c r="B645" s="25"/>
      <c r="C645" s="26"/>
      <c r="D645" s="25"/>
      <c r="E645" s="24"/>
      <c r="F645" s="24"/>
      <c r="G645" s="24"/>
    </row>
    <row r="646">
      <c r="A646" s="24"/>
      <c r="B646" s="25"/>
      <c r="C646" s="26"/>
      <c r="D646" s="25"/>
      <c r="E646" s="24"/>
      <c r="F646" s="24"/>
      <c r="G646" s="24"/>
    </row>
    <row r="647">
      <c r="A647" s="24"/>
      <c r="B647" s="25"/>
      <c r="C647" s="26"/>
      <c r="D647" s="25"/>
      <c r="E647" s="24"/>
      <c r="F647" s="24"/>
      <c r="G647" s="24"/>
    </row>
    <row r="648">
      <c r="A648" s="24"/>
      <c r="B648" s="25"/>
      <c r="C648" s="26"/>
      <c r="D648" s="25"/>
      <c r="E648" s="24"/>
      <c r="F648" s="24"/>
      <c r="G648" s="24"/>
    </row>
    <row r="649">
      <c r="A649" s="24"/>
      <c r="B649" s="25"/>
      <c r="C649" s="26"/>
      <c r="D649" s="25"/>
      <c r="E649" s="24"/>
      <c r="F649" s="24"/>
      <c r="G649" s="24"/>
    </row>
    <row r="650">
      <c r="A650" s="24"/>
      <c r="B650" s="25"/>
      <c r="C650" s="26"/>
      <c r="D650" s="25"/>
      <c r="E650" s="24"/>
      <c r="F650" s="24"/>
      <c r="G650" s="24"/>
    </row>
    <row r="651">
      <c r="A651" s="24"/>
      <c r="B651" s="25"/>
      <c r="C651" s="26"/>
      <c r="D651" s="25"/>
      <c r="E651" s="24"/>
      <c r="F651" s="24"/>
      <c r="G651" s="24"/>
    </row>
    <row r="652">
      <c r="A652" s="24"/>
      <c r="B652" s="25"/>
      <c r="C652" s="26"/>
      <c r="D652" s="25"/>
      <c r="E652" s="24"/>
      <c r="F652" s="24"/>
      <c r="G652" s="24"/>
    </row>
    <row r="653">
      <c r="A653" s="24"/>
      <c r="B653" s="25"/>
      <c r="C653" s="26"/>
      <c r="D653" s="25"/>
      <c r="E653" s="24"/>
      <c r="F653" s="24"/>
      <c r="G653" s="24"/>
    </row>
    <row r="654">
      <c r="A654" s="24"/>
      <c r="B654" s="25"/>
      <c r="C654" s="26"/>
      <c r="D654" s="25"/>
      <c r="E654" s="24"/>
      <c r="F654" s="24"/>
      <c r="G654" s="24"/>
    </row>
    <row r="655">
      <c r="A655" s="24"/>
      <c r="B655" s="25"/>
      <c r="C655" s="26"/>
      <c r="D655" s="25"/>
      <c r="E655" s="24"/>
      <c r="F655" s="24"/>
      <c r="G655" s="24"/>
    </row>
    <row r="656">
      <c r="A656" s="24"/>
      <c r="B656" s="25"/>
      <c r="C656" s="26"/>
      <c r="D656" s="25"/>
      <c r="E656" s="24"/>
      <c r="F656" s="24"/>
      <c r="G656" s="24"/>
    </row>
    <row r="657">
      <c r="A657" s="24"/>
      <c r="B657" s="25"/>
      <c r="C657" s="26"/>
      <c r="D657" s="25"/>
      <c r="E657" s="24"/>
      <c r="F657" s="24"/>
      <c r="G657" s="24"/>
    </row>
    <row r="658">
      <c r="A658" s="24"/>
      <c r="B658" s="25"/>
      <c r="C658" s="26"/>
      <c r="D658" s="25"/>
      <c r="E658" s="24"/>
      <c r="F658" s="24"/>
      <c r="G658" s="24"/>
    </row>
    <row r="659">
      <c r="A659" s="24"/>
      <c r="B659" s="25"/>
      <c r="C659" s="26"/>
      <c r="D659" s="25"/>
      <c r="E659" s="24"/>
      <c r="F659" s="24"/>
      <c r="G659" s="24"/>
    </row>
    <row r="660">
      <c r="A660" s="24"/>
      <c r="B660" s="25"/>
      <c r="C660" s="26"/>
      <c r="D660" s="25"/>
      <c r="E660" s="24"/>
      <c r="F660" s="24"/>
      <c r="G660" s="24"/>
    </row>
    <row r="661">
      <c r="A661" s="24"/>
      <c r="B661" s="25"/>
      <c r="C661" s="26"/>
      <c r="D661" s="25"/>
      <c r="E661" s="24"/>
      <c r="F661" s="24"/>
      <c r="G661" s="24"/>
    </row>
    <row r="662">
      <c r="A662" s="24"/>
      <c r="B662" s="25"/>
      <c r="C662" s="26"/>
      <c r="D662" s="25"/>
      <c r="E662" s="24"/>
      <c r="F662" s="24"/>
      <c r="G662" s="24"/>
    </row>
    <row r="663">
      <c r="A663" s="24"/>
      <c r="B663" s="25"/>
      <c r="C663" s="26"/>
      <c r="D663" s="25"/>
      <c r="E663" s="24"/>
      <c r="F663" s="24"/>
      <c r="G663" s="24"/>
    </row>
    <row r="664">
      <c r="A664" s="24"/>
      <c r="B664" s="25"/>
      <c r="C664" s="26"/>
      <c r="D664" s="25"/>
      <c r="E664" s="24"/>
      <c r="F664" s="24"/>
      <c r="G664" s="24"/>
    </row>
    <row r="665">
      <c r="A665" s="24"/>
      <c r="B665" s="25"/>
      <c r="C665" s="26"/>
      <c r="D665" s="25"/>
      <c r="E665" s="24"/>
      <c r="F665" s="24"/>
      <c r="G665" s="24"/>
    </row>
    <row r="666">
      <c r="A666" s="24"/>
      <c r="B666" s="25"/>
      <c r="C666" s="26"/>
      <c r="D666" s="25"/>
      <c r="E666" s="24"/>
      <c r="F666" s="24"/>
      <c r="G666" s="24"/>
    </row>
    <row r="667">
      <c r="A667" s="24"/>
      <c r="B667" s="25"/>
      <c r="C667" s="26"/>
      <c r="D667" s="25"/>
      <c r="E667" s="24"/>
      <c r="F667" s="24"/>
      <c r="G667" s="24"/>
    </row>
    <row r="668">
      <c r="A668" s="24"/>
      <c r="B668" s="25"/>
      <c r="C668" s="26"/>
      <c r="D668" s="25"/>
      <c r="E668" s="24"/>
      <c r="F668" s="24"/>
      <c r="G668" s="24"/>
    </row>
    <row r="669">
      <c r="A669" s="24"/>
      <c r="B669" s="25"/>
      <c r="C669" s="26"/>
      <c r="D669" s="25"/>
      <c r="E669" s="24"/>
      <c r="F669" s="24"/>
      <c r="G669" s="24"/>
    </row>
    <row r="670">
      <c r="A670" s="24"/>
      <c r="B670" s="25"/>
      <c r="C670" s="26"/>
      <c r="D670" s="25"/>
      <c r="E670" s="24"/>
      <c r="F670" s="24"/>
      <c r="G670" s="24"/>
    </row>
    <row r="671">
      <c r="A671" s="24"/>
      <c r="B671" s="25"/>
      <c r="C671" s="26"/>
      <c r="D671" s="25"/>
      <c r="E671" s="24"/>
      <c r="F671" s="24"/>
      <c r="G671" s="24"/>
    </row>
    <row r="672">
      <c r="A672" s="24"/>
      <c r="B672" s="25"/>
      <c r="C672" s="26"/>
      <c r="D672" s="25"/>
      <c r="E672" s="24"/>
      <c r="F672" s="24"/>
      <c r="G672" s="24"/>
    </row>
    <row r="673">
      <c r="A673" s="24"/>
      <c r="B673" s="25"/>
      <c r="C673" s="26"/>
      <c r="D673" s="25"/>
      <c r="E673" s="24"/>
      <c r="F673" s="24"/>
      <c r="G673" s="24"/>
    </row>
    <row r="674">
      <c r="A674" s="24"/>
      <c r="B674" s="25"/>
      <c r="C674" s="26"/>
      <c r="D674" s="25"/>
      <c r="E674" s="24"/>
      <c r="F674" s="24"/>
      <c r="G674" s="24"/>
    </row>
    <row r="675">
      <c r="A675" s="24"/>
      <c r="B675" s="25"/>
      <c r="C675" s="26"/>
      <c r="D675" s="25"/>
      <c r="E675" s="24"/>
      <c r="F675" s="24"/>
      <c r="G675" s="24"/>
    </row>
    <row r="676">
      <c r="A676" s="24"/>
      <c r="B676" s="25"/>
      <c r="C676" s="26"/>
      <c r="D676" s="25"/>
      <c r="E676" s="24"/>
      <c r="F676" s="24"/>
      <c r="G676" s="24"/>
    </row>
    <row r="677">
      <c r="A677" s="24"/>
      <c r="B677" s="25"/>
      <c r="C677" s="26"/>
      <c r="D677" s="25"/>
      <c r="E677" s="24"/>
      <c r="F677" s="24"/>
      <c r="G677" s="24"/>
    </row>
    <row r="678">
      <c r="A678" s="24"/>
      <c r="B678" s="25"/>
      <c r="C678" s="26"/>
      <c r="D678" s="25"/>
      <c r="E678" s="24"/>
      <c r="F678" s="24"/>
      <c r="G678" s="24"/>
    </row>
    <row r="679">
      <c r="A679" s="24"/>
      <c r="B679" s="25"/>
      <c r="C679" s="26"/>
      <c r="D679" s="25"/>
      <c r="E679" s="24"/>
      <c r="F679" s="24"/>
      <c r="G679" s="24"/>
    </row>
    <row r="680">
      <c r="A680" s="24"/>
      <c r="B680" s="25"/>
      <c r="C680" s="26"/>
      <c r="D680" s="25"/>
      <c r="E680" s="24"/>
      <c r="F680" s="24"/>
      <c r="G680" s="24"/>
    </row>
    <row r="681">
      <c r="A681" s="24"/>
      <c r="B681" s="25"/>
      <c r="C681" s="26"/>
      <c r="D681" s="25"/>
      <c r="E681" s="24"/>
      <c r="F681" s="24"/>
      <c r="G681" s="24"/>
    </row>
    <row r="682">
      <c r="A682" s="24"/>
      <c r="B682" s="25"/>
      <c r="C682" s="26"/>
      <c r="D682" s="25"/>
      <c r="E682" s="24"/>
      <c r="F682" s="24"/>
      <c r="G682" s="24"/>
    </row>
    <row r="683">
      <c r="A683" s="24"/>
      <c r="B683" s="25"/>
      <c r="C683" s="26"/>
      <c r="D683" s="25"/>
      <c r="E683" s="24"/>
      <c r="F683" s="24"/>
      <c r="G683" s="24"/>
    </row>
    <row r="684">
      <c r="A684" s="24"/>
      <c r="B684" s="25"/>
      <c r="C684" s="26"/>
      <c r="D684" s="25"/>
      <c r="E684" s="24"/>
      <c r="F684" s="24"/>
      <c r="G684" s="24"/>
    </row>
    <row r="685">
      <c r="A685" s="24"/>
      <c r="B685" s="25"/>
      <c r="C685" s="26"/>
      <c r="D685" s="25"/>
      <c r="E685" s="24"/>
      <c r="F685" s="24"/>
      <c r="G685" s="24"/>
    </row>
    <row r="686">
      <c r="A686" s="24"/>
      <c r="B686" s="25"/>
      <c r="C686" s="26"/>
      <c r="D686" s="25"/>
      <c r="E686" s="24"/>
      <c r="F686" s="24"/>
      <c r="G686" s="24"/>
    </row>
    <row r="687">
      <c r="A687" s="24"/>
      <c r="B687" s="25"/>
      <c r="C687" s="26"/>
      <c r="D687" s="25"/>
      <c r="E687" s="24"/>
      <c r="F687" s="24"/>
      <c r="G687" s="24"/>
    </row>
    <row r="688">
      <c r="A688" s="24"/>
      <c r="B688" s="25"/>
      <c r="C688" s="26"/>
      <c r="D688" s="25"/>
      <c r="E688" s="24"/>
      <c r="F688" s="24"/>
      <c r="G688" s="24"/>
    </row>
    <row r="689">
      <c r="A689" s="24"/>
      <c r="B689" s="25"/>
      <c r="C689" s="26"/>
      <c r="D689" s="25"/>
      <c r="E689" s="24"/>
      <c r="F689" s="24"/>
      <c r="G689" s="24"/>
    </row>
    <row r="690">
      <c r="A690" s="24"/>
      <c r="B690" s="25"/>
      <c r="C690" s="26"/>
      <c r="D690" s="25"/>
      <c r="E690" s="24"/>
      <c r="F690" s="24"/>
      <c r="G690" s="24"/>
    </row>
    <row r="691">
      <c r="A691" s="24"/>
      <c r="B691" s="25"/>
      <c r="C691" s="26"/>
      <c r="D691" s="25"/>
      <c r="E691" s="24"/>
      <c r="F691" s="24"/>
      <c r="G691" s="24"/>
    </row>
    <row r="692">
      <c r="A692" s="24"/>
      <c r="B692" s="25"/>
      <c r="C692" s="26"/>
      <c r="D692" s="25"/>
      <c r="E692" s="24"/>
      <c r="F692" s="24"/>
      <c r="G692" s="24"/>
    </row>
    <row r="693">
      <c r="A693" s="24"/>
      <c r="B693" s="25"/>
      <c r="C693" s="26"/>
      <c r="D693" s="25"/>
      <c r="E693" s="24"/>
      <c r="F693" s="24"/>
      <c r="G693" s="24"/>
    </row>
    <row r="694">
      <c r="A694" s="24"/>
      <c r="B694" s="25"/>
      <c r="C694" s="26"/>
      <c r="D694" s="25"/>
      <c r="E694" s="24"/>
      <c r="F694" s="24"/>
      <c r="G694" s="24"/>
    </row>
    <row r="695">
      <c r="A695" s="24"/>
      <c r="B695" s="25"/>
      <c r="C695" s="26"/>
      <c r="D695" s="25"/>
      <c r="E695" s="24"/>
      <c r="F695" s="24"/>
      <c r="G695" s="24"/>
    </row>
    <row r="696">
      <c r="A696" s="24"/>
      <c r="B696" s="25"/>
      <c r="C696" s="26"/>
      <c r="D696" s="25"/>
      <c r="E696" s="24"/>
      <c r="F696" s="24"/>
      <c r="G696" s="24"/>
    </row>
    <row r="697">
      <c r="A697" s="24"/>
      <c r="B697" s="25"/>
      <c r="C697" s="26"/>
      <c r="D697" s="25"/>
      <c r="E697" s="24"/>
      <c r="F697" s="24"/>
      <c r="G697" s="24"/>
    </row>
    <row r="698">
      <c r="A698" s="24"/>
      <c r="B698" s="25"/>
      <c r="C698" s="26"/>
      <c r="D698" s="25"/>
      <c r="E698" s="24"/>
      <c r="F698" s="24"/>
      <c r="G698" s="24"/>
    </row>
    <row r="699">
      <c r="A699" s="24"/>
      <c r="B699" s="25"/>
      <c r="C699" s="26"/>
      <c r="D699" s="25"/>
      <c r="E699" s="24"/>
      <c r="F699" s="24"/>
      <c r="G699" s="24"/>
    </row>
    <row r="700">
      <c r="A700" s="24"/>
      <c r="B700" s="25"/>
      <c r="C700" s="26"/>
      <c r="D700" s="25"/>
      <c r="E700" s="24"/>
      <c r="F700" s="24"/>
      <c r="G700" s="24"/>
    </row>
    <row r="701">
      <c r="A701" s="24"/>
      <c r="B701" s="25"/>
      <c r="C701" s="26"/>
      <c r="D701" s="25"/>
      <c r="E701" s="24"/>
      <c r="F701" s="24"/>
      <c r="G701" s="24"/>
    </row>
    <row r="702">
      <c r="A702" s="24"/>
      <c r="B702" s="25"/>
      <c r="C702" s="26"/>
      <c r="D702" s="25"/>
      <c r="E702" s="24"/>
      <c r="F702" s="24"/>
      <c r="G702" s="24"/>
    </row>
    <row r="703">
      <c r="A703" s="24"/>
      <c r="B703" s="25"/>
      <c r="C703" s="26"/>
      <c r="D703" s="25"/>
      <c r="E703" s="24"/>
      <c r="F703" s="24"/>
      <c r="G703" s="24"/>
    </row>
    <row r="704">
      <c r="A704" s="24"/>
      <c r="B704" s="25"/>
      <c r="C704" s="26"/>
      <c r="D704" s="25"/>
      <c r="E704" s="24"/>
      <c r="F704" s="24"/>
      <c r="G704" s="24"/>
    </row>
    <row r="705">
      <c r="A705" s="24"/>
      <c r="B705" s="25"/>
      <c r="C705" s="26"/>
      <c r="D705" s="25"/>
      <c r="E705" s="24"/>
      <c r="F705" s="24"/>
      <c r="G705" s="24"/>
    </row>
    <row r="706">
      <c r="A706" s="24"/>
      <c r="B706" s="25"/>
      <c r="C706" s="26"/>
      <c r="D706" s="25"/>
      <c r="E706" s="24"/>
      <c r="F706" s="24"/>
      <c r="G706" s="24"/>
    </row>
    <row r="707">
      <c r="A707" s="24"/>
      <c r="B707" s="25"/>
      <c r="C707" s="26"/>
      <c r="D707" s="25"/>
      <c r="E707" s="24"/>
      <c r="F707" s="24"/>
      <c r="G707" s="24"/>
    </row>
    <row r="708">
      <c r="A708" s="24"/>
      <c r="B708" s="25"/>
      <c r="C708" s="26"/>
      <c r="D708" s="25"/>
      <c r="E708" s="24"/>
      <c r="F708" s="24"/>
      <c r="G708" s="24"/>
    </row>
    <row r="709">
      <c r="A709" s="24"/>
      <c r="B709" s="25"/>
      <c r="C709" s="26"/>
      <c r="D709" s="25"/>
      <c r="E709" s="24"/>
      <c r="F709" s="24"/>
      <c r="G709" s="24"/>
    </row>
    <row r="710">
      <c r="A710" s="24"/>
      <c r="B710" s="25"/>
      <c r="C710" s="26"/>
      <c r="D710" s="25"/>
      <c r="E710" s="24"/>
      <c r="F710" s="24"/>
      <c r="G710" s="24"/>
    </row>
    <row r="711">
      <c r="A711" s="24"/>
      <c r="B711" s="25"/>
      <c r="C711" s="26"/>
      <c r="D711" s="25"/>
      <c r="E711" s="24"/>
      <c r="F711" s="24"/>
      <c r="G711" s="24"/>
    </row>
    <row r="712">
      <c r="A712" s="24"/>
      <c r="B712" s="25"/>
      <c r="C712" s="26"/>
      <c r="D712" s="25"/>
      <c r="E712" s="24"/>
      <c r="F712" s="24"/>
      <c r="G712" s="24"/>
    </row>
    <row r="713">
      <c r="A713" s="24"/>
      <c r="B713" s="25"/>
      <c r="C713" s="26"/>
      <c r="D713" s="25"/>
      <c r="E713" s="24"/>
      <c r="F713" s="24"/>
      <c r="G713" s="24"/>
    </row>
    <row r="714">
      <c r="A714" s="24"/>
      <c r="B714" s="25"/>
      <c r="C714" s="26"/>
      <c r="D714" s="25"/>
      <c r="E714" s="24"/>
      <c r="F714" s="24"/>
      <c r="G714" s="24"/>
    </row>
    <row r="715">
      <c r="A715" s="24"/>
      <c r="B715" s="25"/>
      <c r="C715" s="26"/>
      <c r="D715" s="25"/>
      <c r="E715" s="24"/>
      <c r="F715" s="24"/>
      <c r="G715" s="24"/>
    </row>
    <row r="716">
      <c r="A716" s="24"/>
      <c r="B716" s="25"/>
      <c r="C716" s="26"/>
      <c r="D716" s="25"/>
      <c r="E716" s="24"/>
      <c r="F716" s="24"/>
      <c r="G716" s="24"/>
    </row>
    <row r="717">
      <c r="A717" s="24"/>
      <c r="B717" s="25"/>
      <c r="C717" s="26"/>
      <c r="D717" s="25"/>
      <c r="E717" s="24"/>
      <c r="F717" s="24"/>
      <c r="G717" s="24"/>
    </row>
    <row r="718">
      <c r="A718" s="24"/>
      <c r="B718" s="25"/>
      <c r="C718" s="26"/>
      <c r="D718" s="25"/>
      <c r="E718" s="24"/>
      <c r="F718" s="24"/>
      <c r="G718" s="24"/>
    </row>
    <row r="719">
      <c r="A719" s="24"/>
      <c r="B719" s="25"/>
      <c r="C719" s="26"/>
      <c r="D719" s="25"/>
      <c r="E719" s="24"/>
      <c r="F719" s="24"/>
      <c r="G719" s="24"/>
    </row>
    <row r="720">
      <c r="A720" s="24"/>
      <c r="B720" s="25"/>
      <c r="C720" s="26"/>
      <c r="D720" s="25"/>
      <c r="E720" s="24"/>
      <c r="F720" s="24"/>
      <c r="G720" s="24"/>
    </row>
    <row r="721">
      <c r="A721" s="24"/>
      <c r="B721" s="25"/>
      <c r="C721" s="26"/>
      <c r="D721" s="25"/>
      <c r="E721" s="24"/>
      <c r="F721" s="24"/>
      <c r="G721" s="24"/>
    </row>
    <row r="722">
      <c r="A722" s="24"/>
      <c r="B722" s="25"/>
      <c r="C722" s="26"/>
      <c r="D722" s="25"/>
      <c r="E722" s="24"/>
      <c r="F722" s="24"/>
      <c r="G722" s="24"/>
    </row>
    <row r="723">
      <c r="A723" s="24"/>
      <c r="B723" s="25"/>
      <c r="C723" s="26"/>
      <c r="D723" s="25"/>
      <c r="E723" s="24"/>
      <c r="F723" s="24"/>
      <c r="G723" s="24"/>
    </row>
    <row r="724">
      <c r="A724" s="24"/>
      <c r="B724" s="25"/>
      <c r="C724" s="26"/>
      <c r="D724" s="25"/>
      <c r="E724" s="24"/>
      <c r="F724" s="24"/>
      <c r="G724" s="24"/>
    </row>
    <row r="725">
      <c r="A725" s="24"/>
      <c r="B725" s="25"/>
      <c r="C725" s="26"/>
      <c r="D725" s="25"/>
      <c r="E725" s="24"/>
      <c r="F725" s="24"/>
      <c r="G725" s="24"/>
    </row>
    <row r="726">
      <c r="A726" s="24"/>
      <c r="B726" s="25"/>
      <c r="C726" s="26"/>
      <c r="D726" s="25"/>
      <c r="E726" s="24"/>
      <c r="F726" s="24"/>
      <c r="G726" s="24"/>
    </row>
    <row r="727">
      <c r="A727" s="24"/>
      <c r="B727" s="25"/>
      <c r="C727" s="26"/>
      <c r="D727" s="25"/>
      <c r="E727" s="24"/>
      <c r="F727" s="24"/>
      <c r="G727" s="24"/>
    </row>
    <row r="728">
      <c r="A728" s="24"/>
      <c r="B728" s="25"/>
      <c r="C728" s="26"/>
      <c r="D728" s="25"/>
      <c r="E728" s="24"/>
      <c r="F728" s="24"/>
      <c r="G728" s="24"/>
    </row>
    <row r="729">
      <c r="A729" s="24"/>
      <c r="B729" s="25"/>
      <c r="C729" s="26"/>
      <c r="D729" s="25"/>
      <c r="E729" s="24"/>
      <c r="F729" s="24"/>
      <c r="G729" s="24"/>
    </row>
    <row r="730">
      <c r="A730" s="24"/>
      <c r="B730" s="25"/>
      <c r="C730" s="26"/>
      <c r="D730" s="25"/>
      <c r="E730" s="24"/>
      <c r="F730" s="24"/>
      <c r="G730" s="24"/>
    </row>
    <row r="731">
      <c r="A731" s="24"/>
      <c r="B731" s="25"/>
      <c r="C731" s="26"/>
      <c r="D731" s="25"/>
      <c r="E731" s="24"/>
      <c r="F731" s="24"/>
      <c r="G731" s="24"/>
    </row>
    <row r="732">
      <c r="A732" s="24"/>
      <c r="B732" s="25"/>
      <c r="C732" s="26"/>
      <c r="D732" s="25"/>
      <c r="E732" s="24"/>
      <c r="F732" s="24"/>
      <c r="G732" s="24"/>
    </row>
    <row r="733">
      <c r="A733" s="24"/>
      <c r="B733" s="25"/>
      <c r="C733" s="26"/>
      <c r="D733" s="25"/>
      <c r="E733" s="24"/>
      <c r="F733" s="24"/>
      <c r="G733" s="24"/>
    </row>
    <row r="734">
      <c r="A734" s="24"/>
      <c r="B734" s="25"/>
      <c r="C734" s="26"/>
      <c r="D734" s="25"/>
      <c r="E734" s="24"/>
      <c r="F734" s="24"/>
      <c r="G734" s="24"/>
    </row>
    <row r="735">
      <c r="A735" s="24"/>
      <c r="B735" s="25"/>
      <c r="C735" s="26"/>
      <c r="D735" s="25"/>
      <c r="E735" s="24"/>
      <c r="F735" s="24"/>
      <c r="G735" s="24"/>
    </row>
    <row r="736">
      <c r="A736" s="24"/>
      <c r="B736" s="25"/>
      <c r="C736" s="26"/>
      <c r="D736" s="25"/>
      <c r="E736" s="24"/>
      <c r="F736" s="24"/>
      <c r="G736" s="24"/>
    </row>
    <row r="737">
      <c r="A737" s="24"/>
      <c r="B737" s="25"/>
      <c r="C737" s="26"/>
      <c r="D737" s="25"/>
      <c r="E737" s="24"/>
      <c r="F737" s="24"/>
      <c r="G737" s="24"/>
    </row>
    <row r="738">
      <c r="A738" s="24"/>
      <c r="B738" s="25"/>
      <c r="C738" s="26"/>
      <c r="D738" s="25"/>
      <c r="E738" s="24"/>
      <c r="F738" s="24"/>
      <c r="G738" s="24"/>
    </row>
    <row r="739">
      <c r="A739" s="24"/>
      <c r="B739" s="25"/>
      <c r="C739" s="26"/>
      <c r="D739" s="25"/>
      <c r="E739" s="24"/>
      <c r="F739" s="24"/>
      <c r="G739" s="24"/>
    </row>
    <row r="740">
      <c r="A740" s="24"/>
      <c r="B740" s="25"/>
      <c r="C740" s="26"/>
      <c r="D740" s="25"/>
      <c r="E740" s="24"/>
      <c r="F740" s="24"/>
      <c r="G740" s="24"/>
    </row>
    <row r="741">
      <c r="A741" s="24"/>
      <c r="B741" s="25"/>
      <c r="C741" s="26"/>
      <c r="D741" s="25"/>
      <c r="E741" s="24"/>
      <c r="F741" s="24"/>
      <c r="G741" s="24"/>
    </row>
    <row r="742">
      <c r="A742" s="24"/>
      <c r="B742" s="25"/>
      <c r="C742" s="26"/>
      <c r="D742" s="25"/>
      <c r="E742" s="24"/>
      <c r="F742" s="24"/>
      <c r="G742" s="24"/>
    </row>
    <row r="743">
      <c r="A743" s="24"/>
      <c r="B743" s="25"/>
      <c r="C743" s="26"/>
      <c r="D743" s="25"/>
      <c r="E743" s="24"/>
      <c r="F743" s="24"/>
      <c r="G743" s="24"/>
    </row>
    <row r="744">
      <c r="A744" s="24"/>
      <c r="B744" s="25"/>
      <c r="C744" s="26"/>
      <c r="D744" s="25"/>
      <c r="E744" s="24"/>
      <c r="F744" s="24"/>
      <c r="G744" s="24"/>
    </row>
    <row r="745">
      <c r="A745" s="24"/>
      <c r="B745" s="25"/>
      <c r="C745" s="26"/>
      <c r="D745" s="25"/>
      <c r="E745" s="24"/>
      <c r="F745" s="24"/>
      <c r="G745" s="24"/>
    </row>
    <row r="746">
      <c r="A746" s="24"/>
      <c r="B746" s="25"/>
      <c r="C746" s="26"/>
      <c r="D746" s="25"/>
      <c r="E746" s="24"/>
      <c r="F746" s="24"/>
      <c r="G746" s="24"/>
    </row>
    <row r="747">
      <c r="A747" s="24"/>
      <c r="B747" s="25"/>
      <c r="C747" s="26"/>
      <c r="D747" s="25"/>
      <c r="E747" s="24"/>
      <c r="F747" s="24"/>
      <c r="G747" s="24"/>
    </row>
    <row r="748">
      <c r="A748" s="24"/>
      <c r="B748" s="25"/>
      <c r="C748" s="26"/>
      <c r="D748" s="25"/>
      <c r="E748" s="24"/>
      <c r="F748" s="24"/>
      <c r="G748" s="24"/>
    </row>
    <row r="749">
      <c r="A749" s="24"/>
      <c r="B749" s="25"/>
      <c r="C749" s="26"/>
      <c r="D749" s="25"/>
      <c r="E749" s="24"/>
      <c r="F749" s="24"/>
      <c r="G749" s="24"/>
    </row>
    <row r="750">
      <c r="A750" s="24"/>
      <c r="B750" s="25"/>
      <c r="C750" s="26"/>
      <c r="D750" s="25"/>
      <c r="E750" s="24"/>
      <c r="F750" s="24"/>
      <c r="G750" s="24"/>
    </row>
    <row r="751">
      <c r="A751" s="24"/>
      <c r="B751" s="25"/>
      <c r="C751" s="26"/>
      <c r="D751" s="25"/>
      <c r="E751" s="24"/>
      <c r="F751" s="24"/>
      <c r="G751" s="24"/>
    </row>
    <row r="752">
      <c r="A752" s="24"/>
      <c r="B752" s="25"/>
      <c r="C752" s="26"/>
      <c r="D752" s="25"/>
      <c r="E752" s="24"/>
      <c r="F752" s="24"/>
      <c r="G752" s="24"/>
    </row>
    <row r="753">
      <c r="A753" s="24"/>
      <c r="B753" s="25"/>
      <c r="C753" s="26"/>
      <c r="D753" s="25"/>
      <c r="E753" s="24"/>
      <c r="F753" s="24"/>
      <c r="G753" s="24"/>
    </row>
    <row r="754">
      <c r="A754" s="24"/>
      <c r="B754" s="25"/>
      <c r="C754" s="26"/>
      <c r="D754" s="25"/>
      <c r="E754" s="24"/>
      <c r="F754" s="24"/>
      <c r="G754" s="24"/>
    </row>
    <row r="755">
      <c r="A755" s="24"/>
      <c r="B755" s="25"/>
      <c r="C755" s="26"/>
      <c r="D755" s="25"/>
      <c r="E755" s="24"/>
      <c r="F755" s="24"/>
      <c r="G755" s="24"/>
    </row>
    <row r="756">
      <c r="A756" s="24"/>
      <c r="B756" s="25"/>
      <c r="C756" s="26"/>
      <c r="D756" s="25"/>
      <c r="E756" s="24"/>
      <c r="F756" s="24"/>
      <c r="G756" s="24"/>
    </row>
    <row r="757">
      <c r="A757" s="24"/>
      <c r="B757" s="25"/>
      <c r="C757" s="26"/>
      <c r="D757" s="25"/>
      <c r="E757" s="24"/>
      <c r="F757" s="24"/>
      <c r="G757" s="24"/>
    </row>
    <row r="758">
      <c r="A758" s="24"/>
      <c r="B758" s="25"/>
      <c r="C758" s="26"/>
      <c r="D758" s="25"/>
      <c r="E758" s="24"/>
      <c r="F758" s="24"/>
      <c r="G758" s="24"/>
    </row>
    <row r="759">
      <c r="A759" s="24"/>
      <c r="B759" s="25"/>
      <c r="C759" s="26"/>
      <c r="D759" s="25"/>
      <c r="E759" s="24"/>
      <c r="F759" s="24"/>
      <c r="G759" s="24"/>
    </row>
    <row r="760">
      <c r="A760" s="24"/>
      <c r="B760" s="25"/>
      <c r="C760" s="26"/>
      <c r="D760" s="25"/>
      <c r="E760" s="24"/>
      <c r="F760" s="24"/>
      <c r="G760" s="24"/>
    </row>
    <row r="761">
      <c r="A761" s="24"/>
      <c r="B761" s="25"/>
      <c r="C761" s="26"/>
      <c r="D761" s="25"/>
      <c r="E761" s="24"/>
      <c r="F761" s="24"/>
      <c r="G761" s="24"/>
    </row>
    <row r="762">
      <c r="A762" s="24"/>
      <c r="B762" s="25"/>
      <c r="C762" s="26"/>
      <c r="D762" s="25"/>
      <c r="E762" s="24"/>
      <c r="F762" s="24"/>
      <c r="G762" s="24"/>
    </row>
    <row r="763">
      <c r="A763" s="24"/>
      <c r="B763" s="25"/>
      <c r="C763" s="26"/>
      <c r="D763" s="25"/>
      <c r="E763" s="24"/>
      <c r="F763" s="24"/>
      <c r="G763" s="24"/>
    </row>
    <row r="764">
      <c r="A764" s="24"/>
      <c r="B764" s="25"/>
      <c r="C764" s="26"/>
      <c r="D764" s="25"/>
      <c r="E764" s="24"/>
      <c r="F764" s="24"/>
      <c r="G764" s="24"/>
    </row>
    <row r="765">
      <c r="A765" s="24"/>
      <c r="B765" s="25"/>
      <c r="C765" s="26"/>
      <c r="D765" s="25"/>
      <c r="E765" s="24"/>
      <c r="F765" s="24"/>
      <c r="G765" s="24"/>
    </row>
    <row r="766">
      <c r="A766" s="24"/>
      <c r="B766" s="25"/>
      <c r="C766" s="26"/>
      <c r="D766" s="25"/>
      <c r="E766" s="24"/>
      <c r="F766" s="24"/>
      <c r="G766" s="24"/>
    </row>
    <row r="767">
      <c r="A767" s="24"/>
      <c r="B767" s="25"/>
      <c r="C767" s="26"/>
      <c r="D767" s="25"/>
      <c r="E767" s="24"/>
      <c r="F767" s="24"/>
      <c r="G767" s="24"/>
    </row>
    <row r="768">
      <c r="A768" s="24"/>
      <c r="B768" s="25"/>
      <c r="C768" s="26"/>
      <c r="D768" s="25"/>
      <c r="E768" s="24"/>
      <c r="F768" s="24"/>
      <c r="G768" s="24"/>
    </row>
    <row r="769">
      <c r="A769" s="24"/>
      <c r="B769" s="25"/>
      <c r="C769" s="26"/>
      <c r="D769" s="25"/>
      <c r="E769" s="24"/>
      <c r="F769" s="24"/>
      <c r="G769" s="24"/>
    </row>
    <row r="770">
      <c r="A770" s="24"/>
      <c r="B770" s="25"/>
      <c r="C770" s="26"/>
      <c r="D770" s="25"/>
      <c r="E770" s="24"/>
      <c r="F770" s="24"/>
      <c r="G770" s="24"/>
    </row>
    <row r="771">
      <c r="A771" s="24"/>
      <c r="B771" s="25"/>
      <c r="C771" s="26"/>
      <c r="D771" s="25"/>
      <c r="E771" s="24"/>
      <c r="F771" s="24"/>
      <c r="G771" s="24"/>
    </row>
    <row r="772">
      <c r="A772" s="24"/>
      <c r="B772" s="25"/>
      <c r="C772" s="26"/>
      <c r="D772" s="25"/>
      <c r="E772" s="24"/>
      <c r="F772" s="24"/>
      <c r="G772" s="24"/>
    </row>
    <row r="773">
      <c r="A773" s="24"/>
      <c r="B773" s="25"/>
      <c r="C773" s="26"/>
      <c r="D773" s="25"/>
      <c r="E773" s="24"/>
      <c r="F773" s="24"/>
      <c r="G773" s="24"/>
    </row>
    <row r="774">
      <c r="A774" s="24"/>
      <c r="B774" s="25"/>
      <c r="C774" s="26"/>
      <c r="D774" s="25"/>
      <c r="E774" s="24"/>
      <c r="F774" s="24"/>
      <c r="G774" s="24"/>
    </row>
    <row r="775">
      <c r="A775" s="24"/>
      <c r="B775" s="25"/>
      <c r="C775" s="26"/>
      <c r="D775" s="25"/>
      <c r="E775" s="24"/>
      <c r="F775" s="24"/>
      <c r="G775" s="24"/>
    </row>
    <row r="776">
      <c r="A776" s="24"/>
      <c r="B776" s="25"/>
      <c r="C776" s="26"/>
      <c r="D776" s="25"/>
      <c r="E776" s="24"/>
      <c r="F776" s="24"/>
      <c r="G776" s="24"/>
    </row>
    <row r="777">
      <c r="A777" s="24"/>
      <c r="B777" s="25"/>
      <c r="C777" s="26"/>
      <c r="D777" s="25"/>
      <c r="E777" s="24"/>
      <c r="F777" s="24"/>
      <c r="G777" s="24"/>
    </row>
    <row r="778">
      <c r="A778" s="24"/>
      <c r="B778" s="25"/>
      <c r="C778" s="26"/>
      <c r="D778" s="25"/>
      <c r="E778" s="24"/>
      <c r="F778" s="24"/>
      <c r="G778" s="24"/>
    </row>
    <row r="779">
      <c r="A779" s="24"/>
      <c r="B779" s="25"/>
      <c r="C779" s="26"/>
      <c r="D779" s="25"/>
      <c r="E779" s="24"/>
      <c r="F779" s="24"/>
      <c r="G779" s="24"/>
    </row>
    <row r="780">
      <c r="A780" s="24"/>
      <c r="B780" s="25"/>
      <c r="C780" s="26"/>
      <c r="D780" s="25"/>
      <c r="E780" s="24"/>
      <c r="F780" s="24"/>
      <c r="G780" s="24"/>
    </row>
    <row r="781">
      <c r="A781" s="24"/>
      <c r="B781" s="25"/>
      <c r="C781" s="26"/>
      <c r="D781" s="25"/>
      <c r="E781" s="24"/>
      <c r="F781" s="24"/>
      <c r="G781" s="24"/>
    </row>
    <row r="782">
      <c r="A782" s="24"/>
      <c r="B782" s="25"/>
      <c r="C782" s="26"/>
      <c r="D782" s="25"/>
      <c r="E782" s="24"/>
      <c r="F782" s="24"/>
      <c r="G782" s="24"/>
    </row>
    <row r="783">
      <c r="A783" s="24"/>
      <c r="B783" s="25"/>
      <c r="C783" s="26"/>
      <c r="D783" s="25"/>
      <c r="E783" s="24"/>
      <c r="F783" s="24"/>
      <c r="G783" s="24"/>
    </row>
    <row r="784">
      <c r="A784" s="24"/>
      <c r="B784" s="25"/>
      <c r="C784" s="26"/>
      <c r="D784" s="25"/>
      <c r="E784" s="24"/>
      <c r="F784" s="24"/>
      <c r="G784" s="24"/>
    </row>
    <row r="785">
      <c r="A785" s="24"/>
      <c r="B785" s="25"/>
      <c r="C785" s="26"/>
      <c r="D785" s="25"/>
      <c r="E785" s="24"/>
      <c r="F785" s="24"/>
      <c r="G785" s="24"/>
    </row>
    <row r="786">
      <c r="A786" s="24"/>
      <c r="B786" s="25"/>
      <c r="C786" s="26"/>
      <c r="D786" s="25"/>
      <c r="E786" s="24"/>
      <c r="F786" s="24"/>
      <c r="G786" s="24"/>
    </row>
    <row r="787">
      <c r="A787" s="24"/>
      <c r="B787" s="25"/>
      <c r="C787" s="26"/>
      <c r="D787" s="25"/>
      <c r="E787" s="24"/>
      <c r="F787" s="24"/>
      <c r="G787" s="24"/>
    </row>
    <row r="788">
      <c r="A788" s="24"/>
      <c r="B788" s="25"/>
      <c r="C788" s="26"/>
      <c r="D788" s="25"/>
      <c r="E788" s="24"/>
      <c r="F788" s="24"/>
      <c r="G788" s="24"/>
    </row>
    <row r="789">
      <c r="A789" s="24"/>
      <c r="B789" s="25"/>
      <c r="C789" s="26"/>
      <c r="D789" s="25"/>
      <c r="E789" s="24"/>
      <c r="F789" s="24"/>
      <c r="G789" s="24"/>
    </row>
    <row r="790">
      <c r="A790" s="24"/>
      <c r="B790" s="25"/>
      <c r="C790" s="26"/>
      <c r="D790" s="25"/>
      <c r="E790" s="24"/>
      <c r="F790" s="24"/>
      <c r="G790" s="24"/>
    </row>
    <row r="791">
      <c r="A791" s="24"/>
      <c r="B791" s="25"/>
      <c r="C791" s="26"/>
      <c r="D791" s="25"/>
      <c r="E791" s="24"/>
      <c r="F791" s="24"/>
      <c r="G791" s="24"/>
    </row>
    <row r="792">
      <c r="A792" s="24"/>
      <c r="B792" s="25"/>
      <c r="C792" s="26"/>
      <c r="D792" s="25"/>
      <c r="E792" s="24"/>
      <c r="F792" s="24"/>
      <c r="G792" s="24"/>
    </row>
    <row r="793">
      <c r="A793" s="24"/>
      <c r="B793" s="25"/>
      <c r="C793" s="26"/>
      <c r="D793" s="25"/>
      <c r="E793" s="24"/>
      <c r="F793" s="24"/>
      <c r="G793" s="24"/>
    </row>
    <row r="794">
      <c r="A794" s="24"/>
      <c r="B794" s="25"/>
      <c r="C794" s="26"/>
      <c r="D794" s="25"/>
      <c r="E794" s="24"/>
      <c r="F794" s="24"/>
      <c r="G794" s="24"/>
    </row>
    <row r="795">
      <c r="A795" s="24"/>
      <c r="B795" s="25"/>
      <c r="C795" s="26"/>
      <c r="D795" s="25"/>
      <c r="E795" s="24"/>
      <c r="F795" s="24"/>
      <c r="G795" s="24"/>
    </row>
    <row r="796">
      <c r="A796" s="24"/>
      <c r="B796" s="25"/>
      <c r="C796" s="26"/>
      <c r="D796" s="25"/>
      <c r="E796" s="24"/>
      <c r="F796" s="24"/>
      <c r="G796" s="24"/>
    </row>
    <row r="797">
      <c r="A797" s="24"/>
      <c r="B797" s="25"/>
      <c r="C797" s="26"/>
      <c r="D797" s="25"/>
      <c r="E797" s="24"/>
      <c r="F797" s="24"/>
      <c r="G797" s="24"/>
    </row>
    <row r="798">
      <c r="A798" s="24"/>
      <c r="B798" s="25"/>
      <c r="C798" s="26"/>
      <c r="D798" s="25"/>
      <c r="E798" s="24"/>
      <c r="F798" s="24"/>
      <c r="G798" s="24"/>
    </row>
    <row r="799">
      <c r="A799" s="24"/>
      <c r="B799" s="25"/>
      <c r="C799" s="26"/>
      <c r="D799" s="25"/>
      <c r="E799" s="24"/>
      <c r="F799" s="24"/>
      <c r="G799" s="24"/>
    </row>
    <row r="800">
      <c r="A800" s="24"/>
      <c r="B800" s="25"/>
      <c r="C800" s="26"/>
      <c r="D800" s="25"/>
      <c r="E800" s="24"/>
      <c r="F800" s="24"/>
      <c r="G800" s="24"/>
    </row>
    <row r="801">
      <c r="A801" s="24"/>
      <c r="B801" s="25"/>
      <c r="C801" s="26"/>
      <c r="D801" s="25"/>
      <c r="E801" s="24"/>
      <c r="F801" s="24"/>
      <c r="G801" s="24"/>
    </row>
    <row r="802">
      <c r="A802" s="24"/>
      <c r="B802" s="25"/>
      <c r="C802" s="26"/>
      <c r="D802" s="25"/>
      <c r="E802" s="24"/>
      <c r="F802" s="24"/>
      <c r="G802" s="24"/>
    </row>
    <row r="803">
      <c r="A803" s="24"/>
      <c r="B803" s="25"/>
      <c r="C803" s="26"/>
      <c r="D803" s="25"/>
      <c r="E803" s="24"/>
      <c r="F803" s="24"/>
      <c r="G803" s="24"/>
    </row>
    <row r="804">
      <c r="A804" s="24"/>
      <c r="B804" s="25"/>
      <c r="C804" s="26"/>
      <c r="D804" s="25"/>
      <c r="E804" s="24"/>
      <c r="F804" s="24"/>
      <c r="G804" s="24"/>
    </row>
    <row r="805">
      <c r="A805" s="24"/>
      <c r="B805" s="25"/>
      <c r="C805" s="26"/>
      <c r="D805" s="25"/>
      <c r="E805" s="24"/>
      <c r="F805" s="24"/>
      <c r="G805" s="24"/>
    </row>
    <row r="806">
      <c r="A806" s="24"/>
      <c r="B806" s="25"/>
      <c r="C806" s="26"/>
      <c r="D806" s="25"/>
      <c r="E806" s="24"/>
      <c r="F806" s="24"/>
      <c r="G806" s="24"/>
    </row>
    <row r="807">
      <c r="A807" s="24"/>
      <c r="B807" s="25"/>
      <c r="C807" s="26"/>
      <c r="D807" s="25"/>
      <c r="E807" s="24"/>
      <c r="F807" s="24"/>
      <c r="G807" s="24"/>
    </row>
    <row r="808">
      <c r="A808" s="24"/>
      <c r="B808" s="25"/>
      <c r="C808" s="26"/>
      <c r="D808" s="25"/>
      <c r="E808" s="24"/>
      <c r="F808" s="24"/>
      <c r="G808" s="24"/>
    </row>
    <row r="809">
      <c r="A809" s="24"/>
      <c r="B809" s="25"/>
      <c r="C809" s="26"/>
      <c r="D809" s="25"/>
      <c r="E809" s="24"/>
      <c r="F809" s="24"/>
      <c r="G809" s="24"/>
    </row>
    <row r="810">
      <c r="A810" s="24"/>
      <c r="B810" s="25"/>
      <c r="C810" s="26"/>
      <c r="D810" s="25"/>
      <c r="E810" s="24"/>
      <c r="F810" s="24"/>
      <c r="G810" s="24"/>
    </row>
    <row r="811">
      <c r="A811" s="24"/>
      <c r="B811" s="25"/>
      <c r="C811" s="26"/>
      <c r="D811" s="25"/>
      <c r="E811" s="24"/>
      <c r="F811" s="24"/>
      <c r="G811" s="24"/>
    </row>
    <row r="812">
      <c r="A812" s="24"/>
      <c r="B812" s="25"/>
      <c r="C812" s="26"/>
      <c r="D812" s="25"/>
      <c r="E812" s="24"/>
      <c r="F812" s="24"/>
      <c r="G812" s="24"/>
    </row>
    <row r="813">
      <c r="A813" s="24"/>
      <c r="B813" s="25"/>
      <c r="C813" s="26"/>
      <c r="D813" s="25"/>
      <c r="E813" s="24"/>
      <c r="F813" s="24"/>
      <c r="G813" s="24"/>
    </row>
    <row r="814">
      <c r="A814" s="24"/>
      <c r="B814" s="25"/>
      <c r="C814" s="26"/>
      <c r="D814" s="25"/>
      <c r="E814" s="24"/>
      <c r="F814" s="24"/>
      <c r="G814" s="24"/>
    </row>
    <row r="815">
      <c r="A815" s="24"/>
      <c r="B815" s="25"/>
      <c r="C815" s="26"/>
      <c r="D815" s="25"/>
      <c r="E815" s="24"/>
      <c r="F815" s="24"/>
      <c r="G815" s="24"/>
    </row>
    <row r="816">
      <c r="A816" s="24"/>
      <c r="B816" s="25"/>
      <c r="C816" s="26"/>
      <c r="D816" s="25"/>
      <c r="E816" s="24"/>
      <c r="F816" s="24"/>
      <c r="G816" s="24"/>
    </row>
    <row r="817">
      <c r="A817" s="24"/>
      <c r="B817" s="25"/>
      <c r="C817" s="26"/>
      <c r="D817" s="25"/>
      <c r="E817" s="24"/>
      <c r="F817" s="24"/>
      <c r="G817" s="24"/>
    </row>
    <row r="818">
      <c r="A818" s="24"/>
      <c r="B818" s="25"/>
      <c r="C818" s="26"/>
      <c r="D818" s="25"/>
      <c r="E818" s="24"/>
      <c r="F818" s="24"/>
      <c r="G818" s="24"/>
    </row>
    <row r="819">
      <c r="A819" s="24"/>
      <c r="B819" s="25"/>
      <c r="C819" s="26"/>
      <c r="D819" s="25"/>
      <c r="E819" s="24"/>
      <c r="F819" s="24"/>
      <c r="G819" s="24"/>
    </row>
    <row r="820">
      <c r="A820" s="24"/>
      <c r="B820" s="25"/>
      <c r="C820" s="26"/>
      <c r="D820" s="25"/>
      <c r="E820" s="24"/>
      <c r="F820" s="24"/>
      <c r="G820" s="24"/>
    </row>
    <row r="821">
      <c r="A821" s="24"/>
      <c r="B821" s="25"/>
      <c r="C821" s="26"/>
      <c r="D821" s="25"/>
      <c r="E821" s="24"/>
      <c r="F821" s="24"/>
      <c r="G821" s="24"/>
    </row>
    <row r="822">
      <c r="A822" s="24"/>
      <c r="B822" s="25"/>
      <c r="C822" s="26"/>
      <c r="D822" s="25"/>
      <c r="E822" s="24"/>
      <c r="F822" s="24"/>
      <c r="G822" s="24"/>
    </row>
    <row r="823">
      <c r="A823" s="24"/>
      <c r="B823" s="25"/>
      <c r="C823" s="26"/>
      <c r="D823" s="25"/>
      <c r="E823" s="24"/>
      <c r="F823" s="24"/>
      <c r="G823" s="24"/>
    </row>
    <row r="824">
      <c r="A824" s="24"/>
      <c r="B824" s="25"/>
      <c r="C824" s="26"/>
      <c r="D824" s="25"/>
      <c r="E824" s="24"/>
      <c r="F824" s="24"/>
      <c r="G824" s="24"/>
    </row>
    <row r="825">
      <c r="A825" s="24"/>
      <c r="B825" s="25"/>
      <c r="C825" s="26"/>
      <c r="D825" s="25"/>
      <c r="E825" s="24"/>
      <c r="F825" s="24"/>
      <c r="G825" s="24"/>
    </row>
    <row r="826">
      <c r="A826" s="24"/>
      <c r="B826" s="25"/>
      <c r="C826" s="26"/>
      <c r="D826" s="25"/>
      <c r="E826" s="24"/>
      <c r="F826" s="24"/>
      <c r="G826" s="24"/>
    </row>
    <row r="827">
      <c r="A827" s="24"/>
      <c r="B827" s="25"/>
      <c r="C827" s="26"/>
      <c r="D827" s="25"/>
      <c r="E827" s="24"/>
      <c r="F827" s="24"/>
      <c r="G827" s="24"/>
    </row>
    <row r="828">
      <c r="A828" s="24"/>
      <c r="B828" s="25"/>
      <c r="C828" s="26"/>
      <c r="D828" s="25"/>
      <c r="E828" s="24"/>
      <c r="F828" s="24"/>
      <c r="G828" s="24"/>
    </row>
    <row r="829">
      <c r="A829" s="24"/>
      <c r="B829" s="25"/>
      <c r="C829" s="26"/>
      <c r="D829" s="25"/>
      <c r="E829" s="24"/>
      <c r="F829" s="24"/>
      <c r="G829" s="24"/>
    </row>
    <row r="830">
      <c r="A830" s="24"/>
      <c r="B830" s="25"/>
      <c r="C830" s="26"/>
      <c r="D830" s="25"/>
      <c r="E830" s="24"/>
      <c r="F830" s="24"/>
      <c r="G830" s="24"/>
    </row>
    <row r="831">
      <c r="A831" s="24"/>
      <c r="B831" s="25"/>
      <c r="C831" s="26"/>
      <c r="D831" s="25"/>
      <c r="E831" s="24"/>
      <c r="F831" s="24"/>
      <c r="G831" s="24"/>
    </row>
    <row r="832">
      <c r="A832" s="24"/>
      <c r="B832" s="25"/>
      <c r="C832" s="26"/>
      <c r="D832" s="25"/>
      <c r="E832" s="24"/>
      <c r="F832" s="24"/>
      <c r="G832" s="24"/>
    </row>
    <row r="833">
      <c r="A833" s="24"/>
      <c r="B833" s="25"/>
      <c r="C833" s="26"/>
      <c r="D833" s="25"/>
      <c r="E833" s="24"/>
      <c r="F833" s="24"/>
      <c r="G833" s="24"/>
    </row>
    <row r="834">
      <c r="A834" s="24"/>
      <c r="B834" s="25"/>
      <c r="C834" s="26"/>
      <c r="D834" s="25"/>
      <c r="E834" s="24"/>
      <c r="F834" s="24"/>
      <c r="G834" s="24"/>
    </row>
    <row r="835">
      <c r="A835" s="24"/>
      <c r="B835" s="25"/>
      <c r="C835" s="26"/>
      <c r="D835" s="25"/>
      <c r="E835" s="24"/>
      <c r="F835" s="24"/>
      <c r="G835" s="24"/>
    </row>
    <row r="836">
      <c r="A836" s="24"/>
      <c r="B836" s="25"/>
      <c r="C836" s="26"/>
      <c r="D836" s="25"/>
      <c r="E836" s="24"/>
      <c r="F836" s="24"/>
      <c r="G836" s="24"/>
    </row>
    <row r="837">
      <c r="A837" s="24"/>
      <c r="B837" s="25"/>
      <c r="C837" s="26"/>
      <c r="D837" s="25"/>
      <c r="E837" s="24"/>
      <c r="F837" s="24"/>
      <c r="G837" s="24"/>
    </row>
    <row r="838">
      <c r="A838" s="24"/>
      <c r="B838" s="25"/>
      <c r="C838" s="26"/>
      <c r="D838" s="25"/>
      <c r="E838" s="24"/>
      <c r="F838" s="24"/>
      <c r="G838" s="24"/>
    </row>
    <row r="839">
      <c r="A839" s="24"/>
      <c r="B839" s="25"/>
      <c r="C839" s="26"/>
      <c r="D839" s="25"/>
      <c r="E839" s="24"/>
      <c r="F839" s="24"/>
      <c r="G839" s="24"/>
    </row>
    <row r="840">
      <c r="A840" s="24"/>
      <c r="B840" s="25"/>
      <c r="C840" s="26"/>
      <c r="D840" s="25"/>
      <c r="E840" s="24"/>
      <c r="F840" s="24"/>
      <c r="G840" s="24"/>
    </row>
    <row r="841">
      <c r="A841" s="24"/>
      <c r="B841" s="25"/>
      <c r="C841" s="26"/>
      <c r="D841" s="25"/>
      <c r="E841" s="24"/>
      <c r="F841" s="24"/>
      <c r="G841" s="24"/>
    </row>
    <row r="842">
      <c r="A842" s="24"/>
      <c r="B842" s="25"/>
      <c r="C842" s="26"/>
      <c r="D842" s="25"/>
      <c r="E842" s="24"/>
      <c r="F842" s="24"/>
      <c r="G842" s="24"/>
    </row>
    <row r="843">
      <c r="A843" s="24"/>
      <c r="B843" s="25"/>
      <c r="C843" s="26"/>
      <c r="D843" s="25"/>
      <c r="E843" s="24"/>
      <c r="F843" s="24"/>
      <c r="G843" s="24"/>
    </row>
    <row r="844">
      <c r="A844" s="24"/>
      <c r="B844" s="25"/>
      <c r="C844" s="26"/>
      <c r="D844" s="25"/>
      <c r="E844" s="24"/>
      <c r="F844" s="24"/>
      <c r="G844" s="24"/>
    </row>
    <row r="845">
      <c r="A845" s="24"/>
      <c r="B845" s="25"/>
      <c r="C845" s="26"/>
      <c r="D845" s="25"/>
      <c r="E845" s="24"/>
      <c r="F845" s="24"/>
      <c r="G845" s="24"/>
    </row>
    <row r="846">
      <c r="A846" s="24"/>
      <c r="B846" s="25"/>
      <c r="C846" s="26"/>
      <c r="D846" s="25"/>
      <c r="E846" s="24"/>
      <c r="F846" s="24"/>
      <c r="G846" s="24"/>
    </row>
    <row r="847">
      <c r="A847" s="24"/>
      <c r="B847" s="25"/>
      <c r="C847" s="26"/>
      <c r="D847" s="25"/>
      <c r="E847" s="24"/>
      <c r="F847" s="24"/>
      <c r="G847" s="24"/>
    </row>
    <row r="848">
      <c r="A848" s="24"/>
      <c r="B848" s="25"/>
      <c r="C848" s="26"/>
      <c r="D848" s="25"/>
      <c r="E848" s="24"/>
      <c r="F848" s="24"/>
      <c r="G848" s="24"/>
    </row>
    <row r="849">
      <c r="A849" s="24"/>
      <c r="B849" s="25"/>
      <c r="C849" s="26"/>
      <c r="D849" s="25"/>
      <c r="E849" s="24"/>
      <c r="F849" s="24"/>
      <c r="G849" s="24"/>
    </row>
    <row r="850">
      <c r="A850" s="24"/>
      <c r="B850" s="25"/>
      <c r="C850" s="26"/>
      <c r="D850" s="25"/>
      <c r="E850" s="24"/>
      <c r="F850" s="24"/>
      <c r="G850" s="24"/>
    </row>
    <row r="851">
      <c r="A851" s="24"/>
      <c r="B851" s="25"/>
      <c r="C851" s="26"/>
      <c r="D851" s="25"/>
      <c r="E851" s="24"/>
      <c r="F851" s="24"/>
      <c r="G851" s="24"/>
    </row>
    <row r="852">
      <c r="A852" s="24"/>
      <c r="B852" s="25"/>
      <c r="C852" s="26"/>
      <c r="D852" s="25"/>
      <c r="E852" s="24"/>
      <c r="F852" s="24"/>
      <c r="G852" s="24"/>
    </row>
    <row r="853">
      <c r="A853" s="24"/>
      <c r="B853" s="25"/>
      <c r="C853" s="26"/>
      <c r="D853" s="25"/>
      <c r="E853" s="24"/>
      <c r="F853" s="24"/>
      <c r="G853" s="24"/>
    </row>
    <row r="854">
      <c r="A854" s="24"/>
      <c r="B854" s="25"/>
      <c r="C854" s="26"/>
      <c r="D854" s="25"/>
      <c r="E854" s="24"/>
      <c r="F854" s="24"/>
      <c r="G854" s="24"/>
    </row>
    <row r="855">
      <c r="A855" s="24"/>
      <c r="B855" s="25"/>
      <c r="C855" s="26"/>
      <c r="D855" s="25"/>
      <c r="E855" s="24"/>
      <c r="F855" s="24"/>
      <c r="G855" s="24"/>
    </row>
    <row r="856">
      <c r="A856" s="24"/>
      <c r="B856" s="25"/>
      <c r="C856" s="26"/>
      <c r="D856" s="25"/>
      <c r="E856" s="24"/>
      <c r="F856" s="24"/>
      <c r="G856" s="24"/>
    </row>
    <row r="857">
      <c r="A857" s="24"/>
      <c r="B857" s="25"/>
      <c r="C857" s="26"/>
      <c r="D857" s="25"/>
      <c r="E857" s="24"/>
      <c r="F857" s="24"/>
      <c r="G857" s="24"/>
    </row>
    <row r="858">
      <c r="A858" s="24"/>
      <c r="B858" s="25"/>
      <c r="C858" s="26"/>
      <c r="D858" s="25"/>
      <c r="E858" s="24"/>
      <c r="F858" s="24"/>
      <c r="G858" s="24"/>
    </row>
    <row r="859">
      <c r="A859" s="24"/>
      <c r="B859" s="25"/>
      <c r="C859" s="26"/>
      <c r="D859" s="25"/>
      <c r="E859" s="24"/>
      <c r="F859" s="24"/>
      <c r="G859" s="24"/>
    </row>
    <row r="860">
      <c r="A860" s="24"/>
      <c r="B860" s="25"/>
      <c r="C860" s="26"/>
      <c r="D860" s="25"/>
      <c r="E860" s="24"/>
      <c r="F860" s="24"/>
      <c r="G860" s="24"/>
    </row>
    <row r="861">
      <c r="A861" s="24"/>
      <c r="B861" s="25"/>
      <c r="C861" s="26"/>
      <c r="D861" s="25"/>
      <c r="E861" s="24"/>
      <c r="F861" s="24"/>
      <c r="G861" s="24"/>
    </row>
    <row r="862">
      <c r="A862" s="24"/>
      <c r="B862" s="25"/>
      <c r="C862" s="26"/>
      <c r="D862" s="25"/>
      <c r="E862" s="24"/>
      <c r="F862" s="24"/>
      <c r="G862" s="24"/>
    </row>
    <row r="863">
      <c r="A863" s="24"/>
      <c r="B863" s="25"/>
      <c r="C863" s="26"/>
      <c r="D863" s="25"/>
      <c r="E863" s="24"/>
      <c r="F863" s="24"/>
      <c r="G863" s="24"/>
    </row>
    <row r="864">
      <c r="A864" s="24"/>
      <c r="B864" s="25"/>
      <c r="C864" s="26"/>
      <c r="D864" s="25"/>
      <c r="E864" s="24"/>
      <c r="F864" s="24"/>
      <c r="G864" s="24"/>
    </row>
    <row r="865">
      <c r="A865" s="24"/>
      <c r="B865" s="25"/>
      <c r="C865" s="26"/>
      <c r="D865" s="25"/>
      <c r="E865" s="24"/>
      <c r="F865" s="24"/>
      <c r="G865" s="24"/>
    </row>
    <row r="866">
      <c r="A866" s="24"/>
      <c r="B866" s="25"/>
      <c r="C866" s="26"/>
      <c r="D866" s="25"/>
      <c r="E866" s="24"/>
      <c r="F866" s="24"/>
      <c r="G866" s="24"/>
    </row>
    <row r="867">
      <c r="A867" s="24"/>
      <c r="B867" s="25"/>
      <c r="C867" s="26"/>
      <c r="D867" s="25"/>
      <c r="E867" s="24"/>
      <c r="F867" s="24"/>
      <c r="G867" s="24"/>
    </row>
    <row r="868">
      <c r="A868" s="24"/>
      <c r="B868" s="25"/>
      <c r="C868" s="26"/>
      <c r="D868" s="25"/>
      <c r="E868" s="24"/>
      <c r="F868" s="24"/>
      <c r="G868" s="24"/>
    </row>
    <row r="869">
      <c r="A869" s="24"/>
      <c r="B869" s="25"/>
      <c r="C869" s="26"/>
      <c r="D869" s="25"/>
      <c r="E869" s="24"/>
      <c r="F869" s="24"/>
      <c r="G869" s="24"/>
    </row>
    <row r="870">
      <c r="A870" s="24"/>
      <c r="B870" s="25"/>
      <c r="C870" s="26"/>
      <c r="D870" s="25"/>
      <c r="E870" s="24"/>
      <c r="F870" s="24"/>
      <c r="G870" s="24"/>
    </row>
    <row r="871">
      <c r="A871" s="24"/>
      <c r="B871" s="25"/>
      <c r="C871" s="26"/>
      <c r="D871" s="25"/>
      <c r="E871" s="24"/>
      <c r="F871" s="24"/>
      <c r="G871" s="24"/>
    </row>
    <row r="872">
      <c r="A872" s="24"/>
      <c r="B872" s="25"/>
      <c r="C872" s="26"/>
      <c r="D872" s="25"/>
      <c r="E872" s="24"/>
      <c r="F872" s="24"/>
      <c r="G872" s="24"/>
    </row>
    <row r="873">
      <c r="A873" s="24"/>
      <c r="B873" s="25"/>
      <c r="C873" s="26"/>
      <c r="D873" s="25"/>
      <c r="E873" s="24"/>
      <c r="F873" s="24"/>
      <c r="G873" s="24"/>
    </row>
    <row r="874">
      <c r="A874" s="24"/>
      <c r="B874" s="25"/>
      <c r="C874" s="26"/>
      <c r="D874" s="25"/>
      <c r="E874" s="24"/>
      <c r="F874" s="24"/>
      <c r="G874" s="24"/>
    </row>
    <row r="875">
      <c r="A875" s="24"/>
      <c r="B875" s="25"/>
      <c r="C875" s="26"/>
      <c r="D875" s="25"/>
      <c r="E875" s="24"/>
      <c r="F875" s="24"/>
      <c r="G875" s="24"/>
    </row>
    <row r="876">
      <c r="A876" s="24"/>
      <c r="B876" s="25"/>
      <c r="C876" s="26"/>
      <c r="D876" s="25"/>
      <c r="E876" s="24"/>
      <c r="F876" s="24"/>
      <c r="G876" s="24"/>
    </row>
    <row r="877">
      <c r="A877" s="24"/>
      <c r="B877" s="25"/>
      <c r="C877" s="26"/>
      <c r="D877" s="25"/>
      <c r="E877" s="24"/>
      <c r="F877" s="24"/>
      <c r="G877" s="24"/>
    </row>
    <row r="878">
      <c r="A878" s="24"/>
      <c r="B878" s="25"/>
      <c r="C878" s="26"/>
      <c r="D878" s="25"/>
      <c r="E878" s="24"/>
      <c r="F878" s="24"/>
      <c r="G878" s="24"/>
    </row>
    <row r="879">
      <c r="A879" s="24"/>
      <c r="B879" s="25"/>
      <c r="C879" s="26"/>
      <c r="D879" s="25"/>
      <c r="E879" s="24"/>
      <c r="F879" s="24"/>
      <c r="G879" s="24"/>
    </row>
    <row r="880">
      <c r="A880" s="24"/>
      <c r="B880" s="25"/>
      <c r="C880" s="26"/>
      <c r="D880" s="25"/>
      <c r="E880" s="24"/>
      <c r="F880" s="24"/>
      <c r="G880" s="24"/>
    </row>
    <row r="881">
      <c r="A881" s="24"/>
      <c r="B881" s="25"/>
      <c r="C881" s="26"/>
      <c r="D881" s="25"/>
      <c r="E881" s="24"/>
      <c r="F881" s="24"/>
      <c r="G881" s="24"/>
    </row>
    <row r="882">
      <c r="A882" s="24"/>
      <c r="B882" s="25"/>
      <c r="C882" s="26"/>
      <c r="D882" s="25"/>
      <c r="E882" s="24"/>
      <c r="F882" s="24"/>
      <c r="G882" s="24"/>
    </row>
    <row r="883">
      <c r="A883" s="24"/>
      <c r="B883" s="25"/>
      <c r="C883" s="26"/>
      <c r="D883" s="25"/>
      <c r="E883" s="24"/>
      <c r="F883" s="24"/>
      <c r="G883" s="24"/>
    </row>
    <row r="884">
      <c r="A884" s="24"/>
      <c r="B884" s="25"/>
      <c r="C884" s="26"/>
      <c r="D884" s="25"/>
      <c r="E884" s="24"/>
      <c r="F884" s="24"/>
      <c r="G884" s="24"/>
    </row>
    <row r="885">
      <c r="A885" s="24"/>
      <c r="B885" s="25"/>
      <c r="C885" s="26"/>
      <c r="D885" s="25"/>
      <c r="E885" s="24"/>
      <c r="F885" s="24"/>
      <c r="G885" s="24"/>
    </row>
    <row r="886">
      <c r="A886" s="24"/>
      <c r="B886" s="25"/>
      <c r="C886" s="26"/>
      <c r="D886" s="25"/>
      <c r="E886" s="24"/>
      <c r="F886" s="24"/>
      <c r="G886" s="24"/>
    </row>
    <row r="887">
      <c r="A887" s="24"/>
      <c r="B887" s="25"/>
      <c r="C887" s="26"/>
      <c r="D887" s="25"/>
      <c r="E887" s="24"/>
      <c r="F887" s="24"/>
      <c r="G887" s="24"/>
    </row>
    <row r="888">
      <c r="A888" s="24"/>
      <c r="B888" s="25"/>
      <c r="C888" s="26"/>
      <c r="D888" s="25"/>
      <c r="E888" s="24"/>
      <c r="F888" s="24"/>
      <c r="G888" s="24"/>
    </row>
    <row r="889">
      <c r="A889" s="24"/>
      <c r="B889" s="25"/>
      <c r="C889" s="26"/>
      <c r="D889" s="25"/>
      <c r="E889" s="24"/>
      <c r="F889" s="24"/>
      <c r="G889" s="24"/>
    </row>
    <row r="890">
      <c r="A890" s="24"/>
      <c r="B890" s="25"/>
      <c r="C890" s="26"/>
      <c r="D890" s="25"/>
      <c r="E890" s="24"/>
      <c r="F890" s="24"/>
      <c r="G890" s="24"/>
    </row>
    <row r="891">
      <c r="A891" s="24"/>
      <c r="B891" s="25"/>
      <c r="C891" s="26"/>
      <c r="D891" s="25"/>
      <c r="E891" s="24"/>
      <c r="F891" s="24"/>
      <c r="G891" s="24"/>
    </row>
    <row r="892">
      <c r="A892" s="24"/>
      <c r="B892" s="25"/>
      <c r="C892" s="26"/>
      <c r="D892" s="25"/>
      <c r="E892" s="24"/>
      <c r="F892" s="24"/>
      <c r="G892" s="24"/>
    </row>
    <row r="893">
      <c r="A893" s="24"/>
      <c r="B893" s="25"/>
      <c r="C893" s="26"/>
      <c r="D893" s="25"/>
      <c r="E893" s="24"/>
      <c r="F893" s="24"/>
      <c r="G893" s="24"/>
    </row>
    <row r="894">
      <c r="A894" s="24"/>
      <c r="B894" s="25"/>
      <c r="C894" s="26"/>
      <c r="D894" s="25"/>
      <c r="E894" s="24"/>
      <c r="F894" s="24"/>
      <c r="G894" s="24"/>
    </row>
    <row r="895">
      <c r="A895" s="24"/>
      <c r="B895" s="25"/>
      <c r="C895" s="26"/>
      <c r="D895" s="25"/>
      <c r="E895" s="24"/>
      <c r="F895" s="24"/>
      <c r="G895" s="24"/>
    </row>
    <row r="896">
      <c r="A896" s="24"/>
      <c r="B896" s="25"/>
      <c r="C896" s="26"/>
      <c r="D896" s="25"/>
      <c r="E896" s="24"/>
      <c r="F896" s="24"/>
      <c r="G896" s="24"/>
    </row>
    <row r="897">
      <c r="A897" s="24"/>
      <c r="B897" s="25"/>
      <c r="C897" s="26"/>
      <c r="D897" s="25"/>
      <c r="E897" s="24"/>
      <c r="F897" s="24"/>
      <c r="G897" s="24"/>
    </row>
    <row r="898">
      <c r="A898" s="24"/>
      <c r="B898" s="25"/>
      <c r="C898" s="26"/>
      <c r="D898" s="25"/>
      <c r="E898" s="24"/>
      <c r="F898" s="24"/>
      <c r="G898" s="24"/>
    </row>
    <row r="899">
      <c r="A899" s="24"/>
      <c r="B899" s="25"/>
      <c r="C899" s="26"/>
      <c r="D899" s="25"/>
      <c r="E899" s="24"/>
      <c r="F899" s="24"/>
      <c r="G899" s="24"/>
    </row>
    <row r="900">
      <c r="A900" s="24"/>
      <c r="B900" s="25"/>
      <c r="C900" s="26"/>
      <c r="D900" s="25"/>
      <c r="E900" s="24"/>
      <c r="F900" s="24"/>
      <c r="G900" s="24"/>
    </row>
    <row r="901">
      <c r="A901" s="24"/>
      <c r="B901" s="25"/>
      <c r="C901" s="26"/>
      <c r="D901" s="25"/>
      <c r="E901" s="24"/>
      <c r="F901" s="24"/>
      <c r="G901" s="24"/>
    </row>
    <row r="902">
      <c r="A902" s="24"/>
      <c r="B902" s="25"/>
      <c r="C902" s="26"/>
      <c r="D902" s="25"/>
      <c r="E902" s="24"/>
      <c r="F902" s="24"/>
      <c r="G902" s="24"/>
    </row>
    <row r="903">
      <c r="A903" s="24"/>
      <c r="B903" s="25"/>
      <c r="C903" s="26"/>
      <c r="D903" s="25"/>
      <c r="E903" s="24"/>
      <c r="F903" s="24"/>
      <c r="G903" s="24"/>
    </row>
    <row r="904">
      <c r="A904" s="24"/>
      <c r="B904" s="25"/>
      <c r="C904" s="26"/>
      <c r="D904" s="25"/>
      <c r="E904" s="24"/>
      <c r="F904" s="24"/>
      <c r="G904" s="24"/>
    </row>
    <row r="905">
      <c r="A905" s="24"/>
      <c r="B905" s="25"/>
      <c r="C905" s="26"/>
      <c r="D905" s="25"/>
      <c r="E905" s="24"/>
      <c r="F905" s="24"/>
      <c r="G905" s="24"/>
    </row>
    <row r="906">
      <c r="A906" s="24"/>
      <c r="B906" s="25"/>
      <c r="C906" s="26"/>
      <c r="D906" s="25"/>
      <c r="E906" s="24"/>
      <c r="F906" s="24"/>
      <c r="G906" s="24"/>
    </row>
    <row r="907">
      <c r="A907" s="24"/>
      <c r="B907" s="25"/>
      <c r="C907" s="26"/>
      <c r="D907" s="25"/>
      <c r="E907" s="24"/>
      <c r="F907" s="24"/>
      <c r="G907" s="24"/>
    </row>
    <row r="908">
      <c r="A908" s="24"/>
      <c r="B908" s="25"/>
      <c r="C908" s="26"/>
      <c r="D908" s="25"/>
      <c r="E908" s="24"/>
      <c r="F908" s="24"/>
      <c r="G908" s="24"/>
    </row>
    <row r="909">
      <c r="A909" s="24"/>
      <c r="B909" s="25"/>
      <c r="C909" s="26"/>
      <c r="D909" s="25"/>
      <c r="E909" s="24"/>
      <c r="F909" s="24"/>
      <c r="G909" s="24"/>
    </row>
    <row r="910">
      <c r="A910" s="24"/>
      <c r="B910" s="25"/>
      <c r="C910" s="26"/>
      <c r="D910" s="25"/>
      <c r="E910" s="24"/>
      <c r="F910" s="24"/>
      <c r="G910" s="24"/>
    </row>
    <row r="911">
      <c r="A911" s="24"/>
      <c r="B911" s="25"/>
      <c r="C911" s="26"/>
      <c r="D911" s="25"/>
      <c r="E911" s="24"/>
      <c r="F911" s="24"/>
      <c r="G911" s="24"/>
    </row>
    <row r="912">
      <c r="A912" s="24"/>
      <c r="B912" s="25"/>
      <c r="C912" s="26"/>
      <c r="D912" s="25"/>
      <c r="E912" s="24"/>
      <c r="F912" s="24"/>
      <c r="G912" s="24"/>
    </row>
    <row r="913">
      <c r="A913" s="24"/>
      <c r="B913" s="25"/>
      <c r="C913" s="26"/>
      <c r="D913" s="25"/>
      <c r="E913" s="24"/>
      <c r="F913" s="24"/>
      <c r="G913" s="24"/>
    </row>
    <row r="914">
      <c r="A914" s="24"/>
      <c r="B914" s="25"/>
      <c r="C914" s="26"/>
      <c r="D914" s="25"/>
      <c r="E914" s="24"/>
      <c r="F914" s="24"/>
      <c r="G914" s="24"/>
    </row>
    <row r="915">
      <c r="A915" s="24"/>
      <c r="B915" s="25"/>
      <c r="C915" s="26"/>
      <c r="D915" s="25"/>
      <c r="E915" s="24"/>
      <c r="F915" s="24"/>
      <c r="G915" s="24"/>
    </row>
    <row r="916">
      <c r="A916" s="24"/>
      <c r="B916" s="25"/>
      <c r="C916" s="26"/>
      <c r="D916" s="25"/>
      <c r="E916" s="24"/>
      <c r="F916" s="24"/>
      <c r="G916" s="24"/>
    </row>
    <row r="917">
      <c r="A917" s="24"/>
      <c r="B917" s="25"/>
      <c r="C917" s="26"/>
      <c r="D917" s="25"/>
      <c r="E917" s="24"/>
      <c r="F917" s="24"/>
      <c r="G917" s="24"/>
    </row>
    <row r="918">
      <c r="A918" s="24"/>
      <c r="B918" s="25"/>
      <c r="C918" s="26"/>
      <c r="D918" s="25"/>
      <c r="E918" s="24"/>
      <c r="F918" s="24"/>
      <c r="G918" s="24"/>
    </row>
    <row r="919">
      <c r="A919" s="24"/>
      <c r="B919" s="25"/>
      <c r="C919" s="26"/>
      <c r="D919" s="25"/>
      <c r="E919" s="24"/>
      <c r="F919" s="24"/>
      <c r="G919" s="24"/>
    </row>
    <row r="920">
      <c r="A920" s="24"/>
      <c r="B920" s="25"/>
      <c r="C920" s="26"/>
      <c r="D920" s="25"/>
      <c r="E920" s="24"/>
      <c r="F920" s="24"/>
      <c r="G920" s="24"/>
    </row>
    <row r="921">
      <c r="A921" s="24"/>
      <c r="B921" s="25"/>
      <c r="C921" s="26"/>
      <c r="D921" s="25"/>
      <c r="E921" s="24"/>
      <c r="F921" s="24"/>
      <c r="G921" s="24"/>
    </row>
    <row r="922">
      <c r="A922" s="24"/>
      <c r="B922" s="25"/>
      <c r="C922" s="26"/>
      <c r="D922" s="25"/>
      <c r="E922" s="24"/>
      <c r="F922" s="24"/>
      <c r="G922" s="24"/>
    </row>
    <row r="923">
      <c r="A923" s="24"/>
      <c r="B923" s="25"/>
      <c r="C923" s="26"/>
      <c r="D923" s="25"/>
      <c r="E923" s="24"/>
      <c r="F923" s="24"/>
      <c r="G923" s="24"/>
    </row>
    <row r="924">
      <c r="A924" s="24"/>
      <c r="B924" s="25"/>
      <c r="C924" s="26"/>
      <c r="D924" s="25"/>
      <c r="E924" s="24"/>
      <c r="F924" s="24"/>
      <c r="G924" s="24"/>
    </row>
    <row r="925">
      <c r="A925" s="24"/>
      <c r="B925" s="25"/>
      <c r="C925" s="26"/>
      <c r="D925" s="25"/>
      <c r="E925" s="24"/>
      <c r="F925" s="24"/>
      <c r="G925" s="24"/>
    </row>
    <row r="926">
      <c r="A926" s="24"/>
      <c r="B926" s="25"/>
      <c r="C926" s="26"/>
      <c r="D926" s="25"/>
      <c r="E926" s="24"/>
      <c r="F926" s="24"/>
      <c r="G926" s="24"/>
    </row>
    <row r="927">
      <c r="A927" s="24"/>
      <c r="B927" s="25"/>
      <c r="C927" s="26"/>
      <c r="D927" s="25"/>
      <c r="E927" s="24"/>
      <c r="F927" s="24"/>
      <c r="G927" s="24"/>
    </row>
    <row r="928">
      <c r="A928" s="24"/>
      <c r="B928" s="25"/>
      <c r="C928" s="26"/>
      <c r="D928" s="25"/>
      <c r="E928" s="24"/>
      <c r="F928" s="24"/>
      <c r="G928" s="24"/>
    </row>
    <row r="929">
      <c r="A929" s="24"/>
      <c r="B929" s="25"/>
      <c r="C929" s="26"/>
      <c r="D929" s="25"/>
      <c r="E929" s="24"/>
      <c r="F929" s="24"/>
      <c r="G929" s="24"/>
    </row>
    <row r="930">
      <c r="A930" s="24"/>
      <c r="B930" s="25"/>
      <c r="C930" s="26"/>
      <c r="D930" s="25"/>
      <c r="E930" s="24"/>
      <c r="F930" s="24"/>
      <c r="G930" s="24"/>
    </row>
    <row r="931">
      <c r="A931" s="24"/>
      <c r="B931" s="25"/>
      <c r="C931" s="26"/>
      <c r="D931" s="25"/>
      <c r="E931" s="24"/>
      <c r="F931" s="24"/>
      <c r="G931" s="24"/>
    </row>
    <row r="932">
      <c r="A932" s="24"/>
      <c r="B932" s="25"/>
      <c r="C932" s="26"/>
      <c r="D932" s="25"/>
      <c r="E932" s="24"/>
      <c r="F932" s="24"/>
      <c r="G932" s="24"/>
    </row>
    <row r="933">
      <c r="A933" s="24"/>
      <c r="B933" s="25"/>
      <c r="C933" s="26"/>
      <c r="D933" s="25"/>
      <c r="E933" s="24"/>
      <c r="F933" s="24"/>
      <c r="G933" s="24"/>
    </row>
    <row r="934">
      <c r="A934" s="24"/>
      <c r="B934" s="25"/>
      <c r="C934" s="26"/>
      <c r="D934" s="25"/>
      <c r="E934" s="24"/>
      <c r="F934" s="24"/>
      <c r="G934" s="24"/>
    </row>
    <row r="935">
      <c r="A935" s="24"/>
      <c r="B935" s="25"/>
      <c r="C935" s="26"/>
      <c r="D935" s="25"/>
      <c r="E935" s="24"/>
      <c r="F935" s="24"/>
      <c r="G935" s="24"/>
    </row>
    <row r="936">
      <c r="A936" s="24"/>
      <c r="B936" s="25"/>
      <c r="C936" s="26"/>
      <c r="D936" s="25"/>
      <c r="E936" s="24"/>
      <c r="F936" s="24"/>
      <c r="G936" s="24"/>
    </row>
    <row r="937">
      <c r="A937" s="24"/>
      <c r="B937" s="25"/>
      <c r="C937" s="26"/>
      <c r="D937" s="25"/>
      <c r="E937" s="24"/>
      <c r="F937" s="24"/>
      <c r="G937" s="24"/>
    </row>
    <row r="938">
      <c r="A938" s="24"/>
      <c r="B938" s="25"/>
      <c r="C938" s="26"/>
      <c r="D938" s="25"/>
      <c r="E938" s="24"/>
      <c r="F938" s="24"/>
      <c r="G938" s="24"/>
    </row>
    <row r="939">
      <c r="A939" s="24"/>
      <c r="B939" s="25"/>
      <c r="C939" s="26"/>
      <c r="D939" s="25"/>
      <c r="E939" s="24"/>
      <c r="F939" s="24"/>
      <c r="G939" s="24"/>
    </row>
    <row r="940">
      <c r="A940" s="24"/>
      <c r="B940" s="25"/>
      <c r="C940" s="26"/>
      <c r="D940" s="25"/>
      <c r="E940" s="24"/>
      <c r="F940" s="24"/>
      <c r="G940" s="24"/>
    </row>
    <row r="941">
      <c r="A941" s="24"/>
      <c r="B941" s="25"/>
      <c r="C941" s="26"/>
      <c r="D941" s="25"/>
      <c r="E941" s="24"/>
      <c r="F941" s="24"/>
      <c r="G941" s="24"/>
    </row>
    <row r="942">
      <c r="A942" s="24"/>
      <c r="B942" s="25"/>
      <c r="C942" s="26"/>
      <c r="D942" s="25"/>
      <c r="E942" s="24"/>
      <c r="F942" s="24"/>
      <c r="G942" s="24"/>
    </row>
    <row r="943">
      <c r="A943" s="24"/>
      <c r="B943" s="25"/>
      <c r="C943" s="26"/>
      <c r="D943" s="25"/>
      <c r="E943" s="24"/>
      <c r="F943" s="24"/>
      <c r="G943" s="24"/>
    </row>
    <row r="944">
      <c r="A944" s="24"/>
      <c r="B944" s="25"/>
      <c r="C944" s="26"/>
      <c r="D944" s="25"/>
      <c r="E944" s="24"/>
      <c r="F944" s="24"/>
      <c r="G944" s="24"/>
    </row>
    <row r="945">
      <c r="A945" s="24"/>
      <c r="B945" s="25"/>
      <c r="C945" s="26"/>
      <c r="D945" s="25"/>
      <c r="E945" s="24"/>
      <c r="F945" s="24"/>
      <c r="G945" s="24"/>
    </row>
    <row r="946">
      <c r="A946" s="24"/>
      <c r="B946" s="25"/>
      <c r="C946" s="26"/>
      <c r="D946" s="25"/>
      <c r="E946" s="24"/>
      <c r="F946" s="24"/>
      <c r="G946" s="24"/>
    </row>
    <row r="947">
      <c r="A947" s="24"/>
      <c r="B947" s="25"/>
      <c r="C947" s="26"/>
      <c r="D947" s="25"/>
      <c r="E947" s="24"/>
      <c r="F947" s="24"/>
      <c r="G947" s="24"/>
    </row>
    <row r="948">
      <c r="A948" s="24"/>
      <c r="B948" s="25"/>
      <c r="C948" s="26"/>
      <c r="D948" s="25"/>
      <c r="E948" s="24"/>
      <c r="F948" s="24"/>
      <c r="G948" s="24"/>
    </row>
    <row r="949">
      <c r="A949" s="24"/>
      <c r="B949" s="25"/>
      <c r="C949" s="26"/>
      <c r="D949" s="25"/>
      <c r="E949" s="24"/>
      <c r="F949" s="24"/>
      <c r="G949" s="24"/>
    </row>
    <row r="950">
      <c r="A950" s="24"/>
      <c r="B950" s="25"/>
      <c r="C950" s="26"/>
      <c r="D950" s="25"/>
      <c r="E950" s="24"/>
      <c r="F950" s="24"/>
      <c r="G950" s="24"/>
    </row>
    <row r="951">
      <c r="A951" s="24"/>
      <c r="B951" s="25"/>
      <c r="C951" s="26"/>
      <c r="D951" s="25"/>
      <c r="E951" s="24"/>
      <c r="F951" s="24"/>
      <c r="G951" s="24"/>
    </row>
    <row r="952">
      <c r="A952" s="24"/>
      <c r="B952" s="25"/>
      <c r="C952" s="26"/>
      <c r="D952" s="25"/>
      <c r="E952" s="24"/>
      <c r="F952" s="24"/>
      <c r="G952" s="24"/>
    </row>
    <row r="953">
      <c r="A953" s="24"/>
      <c r="B953" s="25"/>
      <c r="C953" s="26"/>
      <c r="D953" s="25"/>
      <c r="E953" s="24"/>
      <c r="F953" s="24"/>
      <c r="G953" s="24"/>
    </row>
    <row r="954">
      <c r="A954" s="24"/>
      <c r="B954" s="25"/>
      <c r="C954" s="26"/>
      <c r="D954" s="25"/>
      <c r="E954" s="24"/>
      <c r="F954" s="24"/>
      <c r="G954" s="24"/>
    </row>
    <row r="955">
      <c r="A955" s="24"/>
      <c r="B955" s="25"/>
      <c r="C955" s="26"/>
      <c r="D955" s="25"/>
      <c r="E955" s="24"/>
      <c r="F955" s="24"/>
      <c r="G955" s="24"/>
    </row>
    <row r="956">
      <c r="A956" s="24"/>
      <c r="B956" s="25"/>
      <c r="C956" s="26"/>
      <c r="D956" s="25"/>
      <c r="E956" s="24"/>
      <c r="F956" s="24"/>
      <c r="G956" s="24"/>
    </row>
    <row r="957">
      <c r="A957" s="24"/>
      <c r="B957" s="25"/>
      <c r="C957" s="26"/>
      <c r="D957" s="25"/>
      <c r="E957" s="24"/>
      <c r="F957" s="24"/>
      <c r="G957" s="24"/>
    </row>
    <row r="958">
      <c r="A958" s="24"/>
      <c r="B958" s="25"/>
      <c r="C958" s="26"/>
      <c r="D958" s="25"/>
      <c r="E958" s="24"/>
      <c r="F958" s="24"/>
      <c r="G958" s="24"/>
    </row>
    <row r="959">
      <c r="A959" s="24"/>
      <c r="B959" s="25"/>
      <c r="C959" s="26"/>
      <c r="D959" s="25"/>
      <c r="E959" s="24"/>
      <c r="F959" s="24"/>
      <c r="G959" s="24"/>
    </row>
    <row r="960">
      <c r="A960" s="24"/>
      <c r="B960" s="25"/>
      <c r="C960" s="26"/>
      <c r="D960" s="25"/>
      <c r="E960" s="24"/>
      <c r="F960" s="24"/>
      <c r="G960" s="24"/>
    </row>
    <row r="961">
      <c r="A961" s="24"/>
      <c r="B961" s="25"/>
      <c r="C961" s="26"/>
      <c r="D961" s="25"/>
      <c r="E961" s="24"/>
      <c r="F961" s="24"/>
      <c r="G961" s="24"/>
    </row>
    <row r="962">
      <c r="A962" s="24"/>
      <c r="B962" s="25"/>
      <c r="C962" s="26"/>
      <c r="D962" s="25"/>
      <c r="E962" s="24"/>
      <c r="F962" s="24"/>
      <c r="G962" s="24"/>
    </row>
    <row r="963">
      <c r="A963" s="24"/>
      <c r="B963" s="25"/>
      <c r="C963" s="26"/>
      <c r="D963" s="25"/>
      <c r="E963" s="24"/>
      <c r="F963" s="24"/>
      <c r="G963" s="24"/>
    </row>
    <row r="964">
      <c r="A964" s="24"/>
      <c r="B964" s="25"/>
      <c r="C964" s="26"/>
      <c r="D964" s="25"/>
      <c r="E964" s="24"/>
      <c r="F964" s="24"/>
      <c r="G964" s="24"/>
    </row>
    <row r="965">
      <c r="A965" s="24"/>
      <c r="B965" s="25"/>
      <c r="C965" s="26"/>
      <c r="D965" s="25"/>
      <c r="E965" s="24"/>
      <c r="F965" s="24"/>
      <c r="G965" s="24"/>
    </row>
    <row r="966">
      <c r="A966" s="24"/>
      <c r="B966" s="25"/>
      <c r="C966" s="26"/>
      <c r="D966" s="25"/>
      <c r="E966" s="24"/>
      <c r="F966" s="24"/>
      <c r="G966" s="24"/>
    </row>
    <row r="967">
      <c r="A967" s="24"/>
      <c r="B967" s="25"/>
      <c r="C967" s="26"/>
      <c r="D967" s="25"/>
      <c r="E967" s="24"/>
      <c r="F967" s="24"/>
      <c r="G967" s="24"/>
    </row>
    <row r="968">
      <c r="A968" s="24"/>
      <c r="B968" s="25"/>
      <c r="C968" s="26"/>
      <c r="D968" s="25"/>
      <c r="E968" s="24"/>
      <c r="F968" s="24"/>
      <c r="G968" s="24"/>
    </row>
    <row r="969">
      <c r="A969" s="24"/>
      <c r="B969" s="25"/>
      <c r="C969" s="26"/>
      <c r="D969" s="25"/>
      <c r="E969" s="24"/>
      <c r="F969" s="24"/>
      <c r="G969" s="24"/>
    </row>
    <row r="970">
      <c r="A970" s="24"/>
      <c r="B970" s="25"/>
      <c r="C970" s="26"/>
      <c r="D970" s="25"/>
      <c r="E970" s="24"/>
      <c r="F970" s="24"/>
      <c r="G970" s="24"/>
    </row>
    <row r="971">
      <c r="A971" s="24"/>
      <c r="B971" s="25"/>
      <c r="C971" s="26"/>
      <c r="D971" s="25"/>
      <c r="E971" s="24"/>
      <c r="F971" s="24"/>
      <c r="G971" s="24"/>
    </row>
    <row r="972">
      <c r="A972" s="24"/>
      <c r="B972" s="25"/>
      <c r="C972" s="26"/>
      <c r="D972" s="25"/>
      <c r="E972" s="24"/>
      <c r="F972" s="24"/>
      <c r="G972" s="24"/>
    </row>
    <row r="973">
      <c r="A973" s="24"/>
      <c r="B973" s="25"/>
      <c r="C973" s="26"/>
      <c r="D973" s="25"/>
      <c r="E973" s="24"/>
      <c r="F973" s="24"/>
      <c r="G973" s="24"/>
    </row>
    <row r="974">
      <c r="A974" s="24"/>
      <c r="B974" s="25"/>
      <c r="C974" s="26"/>
      <c r="D974" s="25"/>
      <c r="E974" s="24"/>
      <c r="F974" s="24"/>
      <c r="G974" s="24"/>
    </row>
    <row r="975">
      <c r="A975" s="24"/>
      <c r="B975" s="25"/>
      <c r="C975" s="26"/>
      <c r="D975" s="25"/>
      <c r="E975" s="24"/>
      <c r="F975" s="24"/>
      <c r="G975" s="24"/>
    </row>
    <row r="976">
      <c r="A976" s="24"/>
      <c r="B976" s="25"/>
      <c r="C976" s="26"/>
      <c r="D976" s="25"/>
      <c r="E976" s="24"/>
      <c r="F976" s="24"/>
      <c r="G976" s="24"/>
    </row>
    <row r="977">
      <c r="A977" s="24"/>
      <c r="B977" s="25"/>
      <c r="C977" s="26"/>
      <c r="D977" s="25"/>
      <c r="E977" s="24"/>
      <c r="F977" s="24"/>
      <c r="G977" s="24"/>
    </row>
    <row r="978">
      <c r="A978" s="24"/>
      <c r="B978" s="25"/>
      <c r="C978" s="26"/>
      <c r="D978" s="25"/>
      <c r="E978" s="24"/>
      <c r="F978" s="24"/>
      <c r="G978" s="24"/>
    </row>
    <row r="979">
      <c r="A979" s="24"/>
      <c r="B979" s="25"/>
      <c r="C979" s="26"/>
      <c r="D979" s="25"/>
      <c r="E979" s="24"/>
      <c r="F979" s="24"/>
      <c r="G979" s="24"/>
    </row>
    <row r="980">
      <c r="A980" s="24"/>
      <c r="B980" s="25"/>
      <c r="C980" s="26"/>
      <c r="D980" s="25"/>
      <c r="E980" s="24"/>
      <c r="F980" s="24"/>
      <c r="G980" s="24"/>
    </row>
    <row r="981">
      <c r="A981" s="24"/>
      <c r="B981" s="25"/>
      <c r="C981" s="26"/>
      <c r="D981" s="25"/>
      <c r="E981" s="24"/>
      <c r="F981" s="24"/>
      <c r="G981" s="24"/>
    </row>
    <row r="982">
      <c r="A982" s="24"/>
      <c r="B982" s="25"/>
      <c r="C982" s="26"/>
      <c r="D982" s="25"/>
      <c r="E982" s="24"/>
      <c r="F982" s="24"/>
      <c r="G982" s="24"/>
    </row>
    <row r="983">
      <c r="A983" s="24"/>
      <c r="B983" s="25"/>
      <c r="C983" s="26"/>
      <c r="D983" s="25"/>
      <c r="E983" s="24"/>
      <c r="F983" s="24"/>
      <c r="G983" s="24"/>
    </row>
    <row r="984">
      <c r="A984" s="24"/>
      <c r="B984" s="25"/>
      <c r="C984" s="26"/>
      <c r="D984" s="25"/>
      <c r="E984" s="24"/>
      <c r="F984" s="24"/>
      <c r="G984" s="24"/>
    </row>
    <row r="985">
      <c r="A985" s="24"/>
      <c r="B985" s="25"/>
      <c r="C985" s="26"/>
      <c r="D985" s="25"/>
      <c r="E985" s="24"/>
      <c r="F985" s="24"/>
      <c r="G985" s="24"/>
    </row>
    <row r="986">
      <c r="A986" s="24"/>
      <c r="B986" s="25"/>
      <c r="C986" s="26"/>
      <c r="D986" s="25"/>
      <c r="E986" s="24"/>
      <c r="F986" s="24"/>
      <c r="G986" s="24"/>
    </row>
    <row r="987">
      <c r="A987" s="24"/>
      <c r="B987" s="25"/>
      <c r="C987" s="26"/>
      <c r="D987" s="25"/>
      <c r="E987" s="24"/>
      <c r="F987" s="24"/>
      <c r="G987" s="24"/>
    </row>
    <row r="988">
      <c r="A988" s="24"/>
      <c r="B988" s="25"/>
      <c r="C988" s="26"/>
      <c r="D988" s="25"/>
      <c r="E988" s="24"/>
      <c r="F988" s="24"/>
      <c r="G988" s="24"/>
    </row>
    <row r="989">
      <c r="A989" s="24"/>
      <c r="B989" s="25"/>
      <c r="C989" s="26"/>
      <c r="D989" s="25"/>
      <c r="E989" s="24"/>
      <c r="F989" s="24"/>
      <c r="G989" s="24"/>
    </row>
    <row r="990">
      <c r="A990" s="24"/>
      <c r="B990" s="25"/>
      <c r="C990" s="26"/>
      <c r="D990" s="25"/>
      <c r="E990" s="24"/>
      <c r="F990" s="24"/>
      <c r="G990" s="24"/>
    </row>
    <row r="991">
      <c r="A991" s="24"/>
      <c r="B991" s="25"/>
      <c r="C991" s="26"/>
      <c r="D991" s="25"/>
      <c r="E991" s="24"/>
      <c r="F991" s="24"/>
      <c r="G991" s="24"/>
    </row>
    <row r="992">
      <c r="A992" s="24"/>
      <c r="B992" s="25"/>
      <c r="C992" s="26"/>
      <c r="D992" s="25"/>
      <c r="E992" s="24"/>
      <c r="F992" s="24"/>
      <c r="G992" s="24"/>
    </row>
    <row r="993">
      <c r="A993" s="24"/>
      <c r="B993" s="25"/>
      <c r="C993" s="26"/>
      <c r="D993" s="25"/>
      <c r="E993" s="24"/>
      <c r="F993" s="24"/>
      <c r="G993" s="24"/>
    </row>
    <row r="994">
      <c r="A994" s="24"/>
      <c r="B994" s="25"/>
      <c r="C994" s="26"/>
      <c r="D994" s="25"/>
      <c r="E994" s="24"/>
      <c r="F994" s="24"/>
      <c r="G994" s="24"/>
    </row>
    <row r="995">
      <c r="A995" s="24"/>
      <c r="B995" s="25"/>
      <c r="C995" s="26"/>
      <c r="D995" s="25"/>
      <c r="E995" s="24"/>
      <c r="F995" s="24"/>
      <c r="G995" s="24"/>
    </row>
    <row r="996">
      <c r="A996" s="24"/>
      <c r="B996" s="25"/>
      <c r="C996" s="26"/>
      <c r="D996" s="25"/>
      <c r="E996" s="24"/>
      <c r="F996" s="24"/>
      <c r="G996" s="24"/>
    </row>
    <row r="997">
      <c r="A997" s="24"/>
      <c r="B997" s="25"/>
      <c r="C997" s="26"/>
      <c r="D997" s="25"/>
      <c r="E997" s="24"/>
      <c r="F997" s="24"/>
      <c r="G997" s="24"/>
    </row>
    <row r="998">
      <c r="A998" s="24"/>
      <c r="B998" s="25"/>
      <c r="C998" s="26"/>
      <c r="D998" s="25"/>
      <c r="E998" s="24"/>
      <c r="F998" s="24"/>
      <c r="G998" s="24"/>
    </row>
    <row r="999">
      <c r="A999" s="24"/>
      <c r="B999" s="25"/>
      <c r="C999" s="26"/>
      <c r="D999" s="25"/>
      <c r="E999" s="24"/>
      <c r="F999" s="24"/>
      <c r="G999" s="24"/>
    </row>
    <row r="1000">
      <c r="A1000" s="24"/>
      <c r="B1000" s="25"/>
      <c r="C1000" s="26"/>
      <c r="D1000" s="25"/>
      <c r="E1000" s="24"/>
      <c r="F1000" s="24"/>
      <c r="G1000" s="24"/>
    </row>
  </sheetData>
  <autoFilter ref="$A$1:$G$48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25"/>
  </cols>
  <sheetData>
    <row r="1">
      <c r="A1" s="11"/>
      <c r="B1" s="29" t="s">
        <v>341</v>
      </c>
      <c r="C1" s="30" t="s">
        <v>342</v>
      </c>
      <c r="D1" s="30" t="s">
        <v>343</v>
      </c>
      <c r="E1" s="31" t="s">
        <v>344</v>
      </c>
    </row>
    <row r="2">
      <c r="A2" s="11">
        <v>1.0</v>
      </c>
      <c r="B2" s="12" t="s">
        <v>31</v>
      </c>
      <c r="C2" s="10">
        <v>30.0</v>
      </c>
      <c r="D2" s="10">
        <v>49.0</v>
      </c>
      <c r="E2" s="9">
        <f t="shared" ref="E2:E45" si="1">C2*D2</f>
        <v>1470</v>
      </c>
    </row>
    <row r="3">
      <c r="A3" s="11">
        <v>2.0</v>
      </c>
      <c r="B3" s="12" t="s">
        <v>32</v>
      </c>
      <c r="C3" s="5">
        <v>3.0</v>
      </c>
      <c r="D3" s="10">
        <v>159.0</v>
      </c>
      <c r="E3" s="9">
        <f t="shared" si="1"/>
        <v>477</v>
      </c>
    </row>
    <row r="4">
      <c r="A4" s="11">
        <v>3.0</v>
      </c>
      <c r="B4" s="12" t="s">
        <v>33</v>
      </c>
      <c r="C4" s="10">
        <v>3.0</v>
      </c>
      <c r="D4" s="10">
        <v>499.0</v>
      </c>
      <c r="E4" s="9">
        <f t="shared" si="1"/>
        <v>1497</v>
      </c>
    </row>
    <row r="5">
      <c r="A5" s="11">
        <v>4.0</v>
      </c>
      <c r="B5" s="12" t="s">
        <v>34</v>
      </c>
      <c r="C5" s="5">
        <v>2.0</v>
      </c>
      <c r="D5" s="10">
        <v>339.0</v>
      </c>
      <c r="E5" s="9">
        <f t="shared" si="1"/>
        <v>678</v>
      </c>
    </row>
    <row r="6">
      <c r="A6" s="11">
        <v>5.0</v>
      </c>
      <c r="B6" s="12" t="s">
        <v>35</v>
      </c>
      <c r="C6" s="10">
        <v>1.0</v>
      </c>
      <c r="D6" s="10">
        <v>299.0</v>
      </c>
      <c r="E6" s="9">
        <f t="shared" si="1"/>
        <v>299</v>
      </c>
    </row>
    <row r="7">
      <c r="A7" s="11">
        <v>6.0</v>
      </c>
      <c r="B7" s="12" t="s">
        <v>12</v>
      </c>
      <c r="C7" s="10">
        <v>3.0</v>
      </c>
      <c r="D7" s="10">
        <v>275.0</v>
      </c>
      <c r="E7" s="9">
        <f t="shared" si="1"/>
        <v>825</v>
      </c>
    </row>
    <row r="8">
      <c r="A8" s="11">
        <v>7.0</v>
      </c>
      <c r="B8" s="12" t="s">
        <v>36</v>
      </c>
      <c r="C8" s="10">
        <v>1.0</v>
      </c>
      <c r="D8" s="10">
        <v>275.0</v>
      </c>
      <c r="E8" s="9">
        <f t="shared" si="1"/>
        <v>275</v>
      </c>
    </row>
    <row r="9">
      <c r="A9" s="11">
        <v>8.0</v>
      </c>
      <c r="B9" s="12" t="s">
        <v>201</v>
      </c>
      <c r="C9" s="14">
        <v>2.0</v>
      </c>
      <c r="D9" s="10">
        <v>139.0</v>
      </c>
      <c r="E9" s="9">
        <f t="shared" si="1"/>
        <v>278</v>
      </c>
    </row>
    <row r="10">
      <c r="A10" s="11">
        <v>9.0</v>
      </c>
      <c r="B10" s="12" t="s">
        <v>159</v>
      </c>
      <c r="C10" s="14">
        <v>1.0</v>
      </c>
      <c r="D10" s="10">
        <v>419.0</v>
      </c>
      <c r="E10" s="9">
        <f t="shared" si="1"/>
        <v>419</v>
      </c>
    </row>
    <row r="11">
      <c r="A11" s="11">
        <v>10.0</v>
      </c>
      <c r="B11" s="6" t="s">
        <v>279</v>
      </c>
      <c r="C11" s="14">
        <v>1.0</v>
      </c>
      <c r="D11" s="15">
        <v>99.0</v>
      </c>
      <c r="E11" s="9">
        <f t="shared" si="1"/>
        <v>99</v>
      </c>
    </row>
    <row r="12">
      <c r="A12" s="11">
        <v>11.0</v>
      </c>
      <c r="B12" s="6" t="s">
        <v>280</v>
      </c>
      <c r="C12" s="14">
        <v>1.0</v>
      </c>
      <c r="D12" s="15">
        <v>99.0</v>
      </c>
      <c r="E12" s="9">
        <f t="shared" si="1"/>
        <v>99</v>
      </c>
    </row>
    <row r="13">
      <c r="A13" s="11">
        <v>12.0</v>
      </c>
      <c r="B13" s="6" t="s">
        <v>281</v>
      </c>
      <c r="C13" s="14">
        <v>1.0</v>
      </c>
      <c r="D13" s="15">
        <v>99.0</v>
      </c>
      <c r="E13" s="9">
        <f t="shared" si="1"/>
        <v>99</v>
      </c>
    </row>
    <row r="14">
      <c r="A14" s="11">
        <v>13.0</v>
      </c>
      <c r="B14" s="6" t="s">
        <v>282</v>
      </c>
      <c r="C14" s="14">
        <v>2.0</v>
      </c>
      <c r="D14" s="15">
        <v>95.0</v>
      </c>
      <c r="E14" s="9">
        <f t="shared" si="1"/>
        <v>190</v>
      </c>
    </row>
    <row r="15">
      <c r="A15" s="11">
        <v>14.0</v>
      </c>
      <c r="B15" s="6" t="s">
        <v>283</v>
      </c>
      <c r="C15" s="14">
        <v>1.0</v>
      </c>
      <c r="D15" s="15">
        <v>159.0</v>
      </c>
      <c r="E15" s="9">
        <f t="shared" si="1"/>
        <v>159</v>
      </c>
    </row>
    <row r="16">
      <c r="A16" s="11">
        <v>15.0</v>
      </c>
      <c r="B16" s="6" t="s">
        <v>284</v>
      </c>
      <c r="C16" s="14">
        <v>2.0</v>
      </c>
      <c r="D16" s="15">
        <v>59.0</v>
      </c>
      <c r="E16" s="9">
        <f t="shared" si="1"/>
        <v>118</v>
      </c>
    </row>
    <row r="17">
      <c r="A17" s="11">
        <v>16.0</v>
      </c>
      <c r="B17" s="6" t="s">
        <v>285</v>
      </c>
      <c r="C17" s="14">
        <v>1.0</v>
      </c>
      <c r="D17" s="15">
        <v>149.0</v>
      </c>
      <c r="E17" s="9">
        <f t="shared" si="1"/>
        <v>149</v>
      </c>
    </row>
    <row r="18">
      <c r="A18" s="11">
        <v>17.0</v>
      </c>
      <c r="B18" s="6" t="s">
        <v>277</v>
      </c>
      <c r="C18" s="14">
        <v>1.0</v>
      </c>
      <c r="D18" s="15">
        <v>65.0</v>
      </c>
      <c r="E18" s="9">
        <f t="shared" si="1"/>
        <v>65</v>
      </c>
    </row>
    <row r="19">
      <c r="A19" s="11">
        <v>18.0</v>
      </c>
      <c r="B19" s="6" t="s">
        <v>75</v>
      </c>
      <c r="C19" s="14">
        <v>4.0</v>
      </c>
      <c r="D19" s="15">
        <v>50.0</v>
      </c>
      <c r="E19" s="9">
        <f t="shared" si="1"/>
        <v>200</v>
      </c>
    </row>
    <row r="20">
      <c r="A20" s="11">
        <v>19.0</v>
      </c>
      <c r="B20" s="6" t="s">
        <v>304</v>
      </c>
      <c r="C20" s="14">
        <v>1.0</v>
      </c>
      <c r="D20" s="15">
        <v>49.0</v>
      </c>
      <c r="E20" s="9">
        <f t="shared" si="1"/>
        <v>49</v>
      </c>
    </row>
    <row r="21">
      <c r="A21" s="11">
        <v>20.0</v>
      </c>
      <c r="B21" s="6" t="s">
        <v>305</v>
      </c>
      <c r="C21" s="14">
        <v>1.0</v>
      </c>
      <c r="D21" s="15">
        <v>59.0</v>
      </c>
      <c r="E21" s="9">
        <f t="shared" si="1"/>
        <v>59</v>
      </c>
    </row>
    <row r="22">
      <c r="A22" s="11">
        <v>21.0</v>
      </c>
      <c r="B22" s="6" t="s">
        <v>306</v>
      </c>
      <c r="C22" s="14">
        <v>1.0</v>
      </c>
      <c r="D22" s="15">
        <v>129.0</v>
      </c>
      <c r="E22" s="9">
        <f t="shared" si="1"/>
        <v>129</v>
      </c>
    </row>
    <row r="23">
      <c r="A23" s="11">
        <v>22.0</v>
      </c>
      <c r="B23" s="6" t="s">
        <v>307</v>
      </c>
      <c r="C23" s="14">
        <v>1.0</v>
      </c>
      <c r="D23" s="15">
        <v>129.0</v>
      </c>
      <c r="E23" s="9">
        <f t="shared" si="1"/>
        <v>129</v>
      </c>
    </row>
    <row r="24">
      <c r="A24" s="11">
        <v>23.0</v>
      </c>
      <c r="B24" s="6" t="s">
        <v>308</v>
      </c>
      <c r="C24" s="14">
        <v>3.0</v>
      </c>
      <c r="D24" s="15">
        <v>79.0</v>
      </c>
      <c r="E24" s="9">
        <f t="shared" si="1"/>
        <v>237</v>
      </c>
    </row>
    <row r="25">
      <c r="A25" s="11">
        <v>24.0</v>
      </c>
      <c r="B25" s="6" t="s">
        <v>309</v>
      </c>
      <c r="C25" s="14">
        <v>1.0</v>
      </c>
      <c r="D25" s="15">
        <v>49.0</v>
      </c>
      <c r="E25" s="9">
        <f t="shared" si="1"/>
        <v>49</v>
      </c>
    </row>
    <row r="26">
      <c r="A26" s="11">
        <v>25.0</v>
      </c>
      <c r="B26" s="6" t="s">
        <v>311</v>
      </c>
      <c r="C26" s="14">
        <v>1.0</v>
      </c>
      <c r="D26" s="15">
        <v>59.0</v>
      </c>
      <c r="E26" s="9">
        <f t="shared" si="1"/>
        <v>59</v>
      </c>
    </row>
    <row r="27">
      <c r="A27" s="11">
        <v>26.0</v>
      </c>
      <c r="B27" s="6" t="s">
        <v>312</v>
      </c>
      <c r="C27" s="14">
        <v>1.0</v>
      </c>
      <c r="D27" s="15">
        <v>59.0</v>
      </c>
      <c r="E27" s="9">
        <f t="shared" si="1"/>
        <v>59</v>
      </c>
    </row>
    <row r="28">
      <c r="A28" s="11">
        <v>27.0</v>
      </c>
      <c r="B28" s="6" t="s">
        <v>313</v>
      </c>
      <c r="C28" s="14">
        <v>1.0</v>
      </c>
      <c r="D28" s="15">
        <v>59.0</v>
      </c>
      <c r="E28" s="9">
        <f t="shared" si="1"/>
        <v>59</v>
      </c>
    </row>
    <row r="29">
      <c r="A29" s="11">
        <v>28.0</v>
      </c>
      <c r="B29" s="16" t="s">
        <v>286</v>
      </c>
      <c r="C29" s="14">
        <v>3.0</v>
      </c>
      <c r="D29" s="15">
        <v>649.0</v>
      </c>
      <c r="E29" s="9">
        <f t="shared" si="1"/>
        <v>1947</v>
      </c>
    </row>
    <row r="30">
      <c r="A30" s="11">
        <v>29.0</v>
      </c>
      <c r="B30" s="16" t="s">
        <v>345</v>
      </c>
      <c r="C30" s="14">
        <v>2.0</v>
      </c>
      <c r="D30" s="15">
        <v>829.0</v>
      </c>
      <c r="E30" s="9">
        <f t="shared" si="1"/>
        <v>1658</v>
      </c>
    </row>
    <row r="31">
      <c r="A31" s="11">
        <v>30.0</v>
      </c>
      <c r="B31" s="16" t="s">
        <v>346</v>
      </c>
      <c r="C31" s="14">
        <v>2.0</v>
      </c>
      <c r="D31" s="15">
        <v>219.0</v>
      </c>
      <c r="E31" s="9">
        <f t="shared" si="1"/>
        <v>438</v>
      </c>
    </row>
    <row r="32">
      <c r="A32" s="11">
        <v>31.0</v>
      </c>
      <c r="B32" s="16" t="s">
        <v>347</v>
      </c>
      <c r="C32" s="14">
        <v>12.0</v>
      </c>
      <c r="D32" s="15">
        <v>249.0</v>
      </c>
      <c r="E32" s="9">
        <f t="shared" si="1"/>
        <v>2988</v>
      </c>
    </row>
    <row r="33">
      <c r="A33" s="11">
        <v>32.0</v>
      </c>
      <c r="B33" s="16" t="s">
        <v>348</v>
      </c>
      <c r="C33" s="14">
        <v>2.0</v>
      </c>
      <c r="D33" s="15">
        <v>459.0</v>
      </c>
      <c r="E33" s="9">
        <f t="shared" si="1"/>
        <v>918</v>
      </c>
    </row>
    <row r="34">
      <c r="A34" s="11">
        <v>33.0</v>
      </c>
      <c r="B34" s="16" t="s">
        <v>349</v>
      </c>
      <c r="C34" s="14">
        <v>1.0</v>
      </c>
      <c r="D34" s="15">
        <v>699.0</v>
      </c>
      <c r="E34" s="9">
        <f t="shared" si="1"/>
        <v>699</v>
      </c>
    </row>
    <row r="35">
      <c r="A35" s="11">
        <v>34.0</v>
      </c>
      <c r="B35" s="16" t="s">
        <v>350</v>
      </c>
      <c r="C35" s="15">
        <v>2.0</v>
      </c>
      <c r="D35" s="15">
        <v>990.0</v>
      </c>
      <c r="E35" s="9">
        <f t="shared" si="1"/>
        <v>1980</v>
      </c>
    </row>
    <row r="36">
      <c r="A36" s="11">
        <v>35.0</v>
      </c>
      <c r="B36" s="16" t="s">
        <v>351</v>
      </c>
      <c r="C36" s="15">
        <v>1.0</v>
      </c>
      <c r="D36" s="15">
        <v>829.0</v>
      </c>
      <c r="E36" s="9">
        <f t="shared" si="1"/>
        <v>829</v>
      </c>
    </row>
    <row r="37">
      <c r="A37" s="11">
        <v>36.0</v>
      </c>
      <c r="B37" s="16" t="s">
        <v>352</v>
      </c>
      <c r="C37" s="15">
        <v>1.0</v>
      </c>
      <c r="D37" s="15">
        <v>829.0</v>
      </c>
      <c r="E37" s="9">
        <f t="shared" si="1"/>
        <v>829</v>
      </c>
    </row>
    <row r="38">
      <c r="A38" s="11">
        <v>37.0</v>
      </c>
      <c r="B38" s="16" t="s">
        <v>353</v>
      </c>
      <c r="C38" s="15">
        <v>1.0</v>
      </c>
      <c r="D38" s="15">
        <v>499.0</v>
      </c>
      <c r="E38" s="9">
        <f t="shared" si="1"/>
        <v>499</v>
      </c>
    </row>
    <row r="39">
      <c r="A39" s="11">
        <v>38.0</v>
      </c>
      <c r="B39" s="16" t="s">
        <v>354</v>
      </c>
      <c r="C39" s="15">
        <v>1.0</v>
      </c>
      <c r="D39" s="15">
        <v>579.0</v>
      </c>
      <c r="E39" s="9">
        <f t="shared" si="1"/>
        <v>579</v>
      </c>
    </row>
    <row r="40">
      <c r="A40" s="11">
        <v>39.0</v>
      </c>
      <c r="B40" s="16" t="s">
        <v>355</v>
      </c>
      <c r="C40" s="15">
        <v>1.0</v>
      </c>
      <c r="D40" s="15">
        <v>579.0</v>
      </c>
      <c r="E40" s="9">
        <f t="shared" si="1"/>
        <v>579</v>
      </c>
    </row>
    <row r="41">
      <c r="A41" s="11">
        <v>40.0</v>
      </c>
      <c r="B41" s="16" t="s">
        <v>356</v>
      </c>
      <c r="C41" s="15">
        <v>1.0</v>
      </c>
      <c r="D41" s="15">
        <v>599.0</v>
      </c>
      <c r="E41" s="9">
        <f t="shared" si="1"/>
        <v>599</v>
      </c>
    </row>
    <row r="42">
      <c r="A42" s="11">
        <v>41.0</v>
      </c>
      <c r="B42" s="16" t="s">
        <v>357</v>
      </c>
      <c r="C42" s="15">
        <v>2.0</v>
      </c>
      <c r="D42" s="15">
        <v>599.0</v>
      </c>
      <c r="E42" s="9">
        <f t="shared" si="1"/>
        <v>1198</v>
      </c>
    </row>
    <row r="43">
      <c r="A43" s="11">
        <v>42.0</v>
      </c>
      <c r="B43" s="16" t="s">
        <v>358</v>
      </c>
      <c r="C43" s="15">
        <v>1.0</v>
      </c>
      <c r="D43" s="15">
        <v>599.0</v>
      </c>
      <c r="E43" s="9">
        <f t="shared" si="1"/>
        <v>599</v>
      </c>
    </row>
    <row r="44">
      <c r="A44" s="11">
        <v>43.0</v>
      </c>
      <c r="B44" s="16" t="s">
        <v>359</v>
      </c>
      <c r="C44" s="15">
        <v>1.0</v>
      </c>
      <c r="D44" s="15">
        <v>799.0</v>
      </c>
      <c r="E44" s="9">
        <f t="shared" si="1"/>
        <v>799</v>
      </c>
    </row>
    <row r="45">
      <c r="A45" s="11">
        <v>44.0</v>
      </c>
      <c r="B45" s="16" t="s">
        <v>360</v>
      </c>
      <c r="C45" s="15">
        <v>1.0</v>
      </c>
      <c r="D45" s="15">
        <v>799.0</v>
      </c>
      <c r="E45" s="9">
        <f t="shared" si="1"/>
        <v>799</v>
      </c>
    </row>
    <row r="46">
      <c r="A46" s="32"/>
      <c r="B46" s="33" t="s">
        <v>361</v>
      </c>
      <c r="C46" s="34"/>
      <c r="D46" s="35"/>
      <c r="E46" s="36">
        <f>SUM(E2:E45)</f>
        <v>26162</v>
      </c>
    </row>
    <row r="47">
      <c r="A47" s="37"/>
      <c r="B47" s="37"/>
      <c r="C47" s="38"/>
      <c r="D47" s="38"/>
      <c r="E47" s="37"/>
    </row>
    <row r="48">
      <c r="A48" s="37"/>
      <c r="B48" s="37"/>
      <c r="C48" s="38"/>
      <c r="D48" s="38"/>
      <c r="E48" s="37"/>
    </row>
    <row r="49">
      <c r="A49" s="37"/>
      <c r="B49" s="37"/>
      <c r="C49" s="38"/>
      <c r="D49" s="38"/>
      <c r="E49" s="37"/>
    </row>
    <row r="50">
      <c r="A50" s="37"/>
      <c r="B50" s="37"/>
      <c r="C50" s="38"/>
      <c r="D50" s="38"/>
      <c r="E50" s="37"/>
    </row>
    <row r="51">
      <c r="A51" s="37"/>
      <c r="B51" s="37"/>
      <c r="C51" s="38"/>
      <c r="D51" s="38"/>
      <c r="E51" s="37"/>
    </row>
    <row r="52">
      <c r="A52" s="37"/>
      <c r="B52" s="37"/>
      <c r="C52" s="38"/>
      <c r="D52" s="38"/>
      <c r="E52" s="37"/>
    </row>
    <row r="53">
      <c r="A53" s="37"/>
      <c r="B53" s="37"/>
      <c r="C53" s="38"/>
      <c r="D53" s="38"/>
      <c r="E53" s="37"/>
    </row>
    <row r="54">
      <c r="A54" s="37"/>
      <c r="B54" s="37"/>
      <c r="C54" s="38"/>
      <c r="D54" s="38"/>
      <c r="E54" s="37"/>
    </row>
    <row r="55">
      <c r="A55" s="37"/>
      <c r="B55" s="37"/>
      <c r="C55" s="38"/>
      <c r="D55" s="38"/>
      <c r="E55" s="37"/>
    </row>
    <row r="56">
      <c r="A56" s="37"/>
      <c r="B56" s="37"/>
      <c r="C56" s="38"/>
      <c r="D56" s="38"/>
      <c r="E56" s="37"/>
    </row>
    <row r="57">
      <c r="A57" s="37"/>
      <c r="B57" s="37"/>
      <c r="C57" s="38"/>
      <c r="D57" s="38"/>
      <c r="E57" s="37"/>
    </row>
    <row r="58">
      <c r="A58" s="37"/>
      <c r="B58" s="37"/>
      <c r="C58" s="38"/>
      <c r="D58" s="38"/>
      <c r="E58" s="37"/>
    </row>
    <row r="59">
      <c r="A59" s="37"/>
      <c r="B59" s="37"/>
      <c r="C59" s="38"/>
      <c r="D59" s="38"/>
      <c r="E59" s="37"/>
    </row>
    <row r="60">
      <c r="A60" s="37"/>
      <c r="B60" s="37"/>
      <c r="C60" s="38"/>
      <c r="D60" s="38"/>
      <c r="E60" s="37"/>
    </row>
    <row r="61">
      <c r="A61" s="37"/>
      <c r="B61" s="37"/>
      <c r="C61" s="38"/>
      <c r="D61" s="38"/>
      <c r="E61" s="37"/>
    </row>
    <row r="62">
      <c r="A62" s="37"/>
      <c r="B62" s="37"/>
      <c r="C62" s="38"/>
      <c r="D62" s="38"/>
      <c r="E62" s="37"/>
    </row>
    <row r="63">
      <c r="A63" s="37"/>
      <c r="B63" s="37"/>
      <c r="C63" s="38"/>
      <c r="D63" s="38"/>
      <c r="E63" s="37"/>
    </row>
    <row r="64">
      <c r="A64" s="37"/>
      <c r="B64" s="37"/>
      <c r="C64" s="38"/>
      <c r="D64" s="38"/>
      <c r="E64" s="37"/>
    </row>
    <row r="65">
      <c r="A65" s="37"/>
      <c r="B65" s="37"/>
      <c r="C65" s="38"/>
      <c r="D65" s="38"/>
      <c r="E65" s="37"/>
    </row>
    <row r="66">
      <c r="A66" s="37"/>
      <c r="B66" s="37"/>
      <c r="C66" s="38"/>
      <c r="D66" s="38"/>
      <c r="E66" s="37"/>
    </row>
    <row r="67">
      <c r="A67" s="37"/>
      <c r="B67" s="37"/>
      <c r="C67" s="38"/>
      <c r="D67" s="38"/>
      <c r="E67" s="37"/>
    </row>
    <row r="68">
      <c r="A68" s="37"/>
      <c r="B68" s="37"/>
      <c r="C68" s="38"/>
      <c r="D68" s="38"/>
      <c r="E68" s="37"/>
    </row>
    <row r="69">
      <c r="A69" s="37"/>
      <c r="B69" s="37"/>
      <c r="C69" s="38"/>
      <c r="D69" s="38"/>
      <c r="E69" s="37"/>
    </row>
    <row r="70">
      <c r="A70" s="37"/>
      <c r="B70" s="37"/>
      <c r="C70" s="38"/>
      <c r="D70" s="38"/>
      <c r="E70" s="37"/>
    </row>
    <row r="71">
      <c r="A71" s="37"/>
      <c r="B71" s="37"/>
      <c r="C71" s="38"/>
      <c r="D71" s="38"/>
      <c r="E71" s="37"/>
    </row>
    <row r="72">
      <c r="A72" s="37"/>
      <c r="B72" s="37"/>
      <c r="C72" s="38"/>
      <c r="D72" s="38"/>
      <c r="E72" s="37"/>
    </row>
    <row r="73">
      <c r="A73" s="37"/>
      <c r="B73" s="37"/>
      <c r="C73" s="38"/>
      <c r="D73" s="38"/>
      <c r="E73" s="37"/>
    </row>
    <row r="74">
      <c r="A74" s="37"/>
      <c r="B74" s="37"/>
      <c r="C74" s="38"/>
      <c r="D74" s="38"/>
      <c r="E74" s="37"/>
    </row>
    <row r="75">
      <c r="A75" s="37"/>
      <c r="B75" s="37"/>
      <c r="C75" s="38"/>
      <c r="D75" s="38"/>
      <c r="E75" s="37"/>
    </row>
    <row r="76">
      <c r="A76" s="37"/>
      <c r="B76" s="37"/>
      <c r="C76" s="38"/>
      <c r="D76" s="38"/>
      <c r="E76" s="37"/>
    </row>
    <row r="77">
      <c r="A77" s="37"/>
      <c r="B77" s="37"/>
      <c r="C77" s="38"/>
      <c r="D77" s="38"/>
      <c r="E77" s="37"/>
    </row>
    <row r="78">
      <c r="A78" s="37"/>
      <c r="B78" s="37"/>
      <c r="C78" s="38"/>
      <c r="D78" s="38"/>
      <c r="E78" s="37"/>
    </row>
    <row r="79">
      <c r="A79" s="37"/>
      <c r="B79" s="37"/>
      <c r="C79" s="38"/>
      <c r="D79" s="38"/>
      <c r="E79" s="37"/>
    </row>
    <row r="80">
      <c r="A80" s="37"/>
      <c r="B80" s="37"/>
      <c r="C80" s="38"/>
      <c r="D80" s="38"/>
      <c r="E80" s="37"/>
    </row>
    <row r="81">
      <c r="A81" s="37"/>
      <c r="B81" s="37"/>
      <c r="C81" s="38"/>
      <c r="D81" s="38"/>
      <c r="E81" s="37"/>
    </row>
    <row r="82">
      <c r="A82" s="37"/>
      <c r="B82" s="37"/>
      <c r="C82" s="38"/>
      <c r="D82" s="38"/>
      <c r="E82" s="37"/>
    </row>
    <row r="83">
      <c r="A83" s="37"/>
      <c r="B83" s="37"/>
      <c r="C83" s="38"/>
      <c r="D83" s="38"/>
      <c r="E83" s="37"/>
    </row>
    <row r="84">
      <c r="A84" s="37"/>
      <c r="B84" s="37"/>
      <c r="C84" s="38"/>
      <c r="D84" s="38"/>
      <c r="E84" s="37"/>
    </row>
    <row r="85">
      <c r="A85" s="37"/>
      <c r="B85" s="37"/>
      <c r="C85" s="38"/>
      <c r="D85" s="38"/>
      <c r="E85" s="37"/>
    </row>
    <row r="86">
      <c r="A86" s="37"/>
      <c r="B86" s="37"/>
      <c r="C86" s="38"/>
      <c r="D86" s="38"/>
      <c r="E86" s="37"/>
    </row>
    <row r="87">
      <c r="A87" s="37"/>
      <c r="B87" s="37"/>
      <c r="C87" s="38"/>
      <c r="D87" s="38"/>
      <c r="E87" s="37"/>
    </row>
    <row r="88">
      <c r="A88" s="37"/>
      <c r="B88" s="37"/>
      <c r="C88" s="38"/>
      <c r="D88" s="38"/>
      <c r="E88" s="37"/>
    </row>
    <row r="89">
      <c r="A89" s="37"/>
      <c r="B89" s="37"/>
      <c r="C89" s="38"/>
      <c r="D89" s="38"/>
      <c r="E89" s="37"/>
    </row>
    <row r="90">
      <c r="A90" s="37"/>
      <c r="B90" s="37"/>
      <c r="C90" s="38"/>
      <c r="D90" s="38"/>
      <c r="E90" s="37"/>
    </row>
    <row r="91">
      <c r="A91" s="37"/>
      <c r="B91" s="37"/>
      <c r="C91" s="38"/>
      <c r="D91" s="38"/>
      <c r="E91" s="37"/>
    </row>
    <row r="92">
      <c r="A92" s="37"/>
      <c r="B92" s="37"/>
      <c r="C92" s="38"/>
      <c r="D92" s="38"/>
      <c r="E92" s="37"/>
    </row>
    <row r="93">
      <c r="A93" s="37"/>
      <c r="B93" s="37"/>
      <c r="C93" s="38"/>
      <c r="D93" s="38"/>
      <c r="E93" s="37"/>
    </row>
    <row r="94">
      <c r="A94" s="37"/>
      <c r="B94" s="37"/>
      <c r="C94" s="38"/>
      <c r="D94" s="38"/>
      <c r="E94" s="37"/>
    </row>
    <row r="95">
      <c r="A95" s="37"/>
      <c r="B95" s="37"/>
      <c r="C95" s="38"/>
      <c r="D95" s="38"/>
      <c r="E95" s="37"/>
    </row>
    <row r="96">
      <c r="A96" s="37"/>
      <c r="B96" s="37"/>
      <c r="C96" s="38"/>
      <c r="D96" s="38"/>
      <c r="E96" s="37"/>
    </row>
    <row r="97">
      <c r="A97" s="37"/>
      <c r="B97" s="37"/>
      <c r="C97" s="38"/>
      <c r="D97" s="38"/>
      <c r="E97" s="37"/>
    </row>
    <row r="98">
      <c r="A98" s="37"/>
      <c r="B98" s="37"/>
      <c r="C98" s="38"/>
      <c r="D98" s="38"/>
      <c r="E98" s="37"/>
    </row>
    <row r="99">
      <c r="A99" s="37"/>
      <c r="B99" s="37"/>
      <c r="C99" s="38"/>
      <c r="D99" s="38"/>
      <c r="E99" s="37"/>
    </row>
    <row r="100">
      <c r="A100" s="37"/>
      <c r="B100" s="37"/>
      <c r="C100" s="38"/>
      <c r="D100" s="38"/>
      <c r="E100" s="37"/>
    </row>
    <row r="101">
      <c r="A101" s="37"/>
      <c r="B101" s="37"/>
      <c r="C101" s="38"/>
      <c r="D101" s="38"/>
      <c r="E101" s="37"/>
    </row>
    <row r="102">
      <c r="A102" s="37"/>
      <c r="B102" s="37"/>
      <c r="C102" s="38"/>
      <c r="D102" s="38"/>
      <c r="E102" s="37"/>
    </row>
    <row r="103">
      <c r="A103" s="37"/>
      <c r="B103" s="37"/>
      <c r="C103" s="38"/>
      <c r="D103" s="38"/>
      <c r="E103" s="37"/>
    </row>
    <row r="104">
      <c r="A104" s="37"/>
      <c r="B104" s="37"/>
      <c r="C104" s="38"/>
      <c r="D104" s="38"/>
      <c r="E104" s="37"/>
    </row>
    <row r="105">
      <c r="A105" s="37"/>
      <c r="B105" s="37"/>
      <c r="C105" s="38"/>
      <c r="D105" s="38"/>
      <c r="E105" s="37"/>
    </row>
    <row r="106">
      <c r="A106" s="37"/>
      <c r="B106" s="37"/>
      <c r="C106" s="38"/>
      <c r="D106" s="38"/>
      <c r="E106" s="37"/>
    </row>
    <row r="107">
      <c r="A107" s="37"/>
      <c r="B107" s="37"/>
      <c r="C107" s="38"/>
      <c r="D107" s="38"/>
      <c r="E107" s="37"/>
    </row>
    <row r="108">
      <c r="A108" s="37"/>
      <c r="B108" s="37"/>
      <c r="C108" s="38"/>
      <c r="D108" s="38"/>
      <c r="E108" s="37"/>
    </row>
    <row r="109">
      <c r="A109" s="37"/>
      <c r="B109" s="37"/>
      <c r="C109" s="38"/>
      <c r="D109" s="38"/>
      <c r="E109" s="37"/>
    </row>
    <row r="110">
      <c r="A110" s="37"/>
      <c r="B110" s="37"/>
      <c r="C110" s="38"/>
      <c r="D110" s="38"/>
      <c r="E110" s="37"/>
    </row>
    <row r="111">
      <c r="A111" s="37"/>
      <c r="B111" s="37"/>
      <c r="C111" s="38"/>
      <c r="D111" s="38"/>
      <c r="E111" s="37"/>
    </row>
    <row r="112">
      <c r="A112" s="37"/>
      <c r="B112" s="37"/>
      <c r="C112" s="38"/>
      <c r="D112" s="38"/>
      <c r="E112" s="37"/>
    </row>
    <row r="113">
      <c r="A113" s="37"/>
      <c r="B113" s="37"/>
      <c r="C113" s="38"/>
      <c r="D113" s="38"/>
      <c r="E113" s="37"/>
    </row>
    <row r="114">
      <c r="A114" s="37"/>
      <c r="B114" s="37"/>
      <c r="C114" s="38"/>
      <c r="D114" s="38"/>
      <c r="E114" s="37"/>
    </row>
    <row r="115">
      <c r="A115" s="37"/>
      <c r="B115" s="37"/>
      <c r="C115" s="38"/>
      <c r="D115" s="38"/>
      <c r="E115" s="37"/>
    </row>
    <row r="116">
      <c r="A116" s="37"/>
      <c r="B116" s="37"/>
      <c r="C116" s="38"/>
      <c r="D116" s="38"/>
      <c r="E116" s="37"/>
    </row>
    <row r="117">
      <c r="A117" s="37"/>
      <c r="B117" s="37"/>
      <c r="C117" s="38"/>
      <c r="D117" s="38"/>
      <c r="E117" s="37"/>
    </row>
    <row r="118">
      <c r="A118" s="37"/>
      <c r="B118" s="37"/>
      <c r="C118" s="38"/>
      <c r="D118" s="38"/>
      <c r="E118" s="37"/>
    </row>
    <row r="119">
      <c r="A119" s="37"/>
      <c r="B119" s="37"/>
      <c r="C119" s="38"/>
      <c r="D119" s="38"/>
      <c r="E119" s="37"/>
    </row>
    <row r="120">
      <c r="A120" s="37"/>
      <c r="B120" s="37"/>
      <c r="C120" s="38"/>
      <c r="D120" s="38"/>
      <c r="E120" s="37"/>
    </row>
    <row r="121">
      <c r="A121" s="37"/>
      <c r="B121" s="37"/>
      <c r="C121" s="38"/>
      <c r="D121" s="38"/>
      <c r="E121" s="37"/>
    </row>
    <row r="122">
      <c r="A122" s="37"/>
      <c r="B122" s="37"/>
      <c r="C122" s="38"/>
      <c r="D122" s="38"/>
      <c r="E122" s="37"/>
    </row>
    <row r="123">
      <c r="A123" s="37"/>
      <c r="B123" s="37"/>
      <c r="C123" s="38"/>
      <c r="D123" s="38"/>
      <c r="E123" s="37"/>
    </row>
    <row r="124">
      <c r="A124" s="37"/>
      <c r="B124" s="37"/>
      <c r="C124" s="38"/>
      <c r="D124" s="38"/>
      <c r="E124" s="37"/>
    </row>
    <row r="125">
      <c r="A125" s="37"/>
      <c r="B125" s="37"/>
      <c r="C125" s="38"/>
      <c r="D125" s="38"/>
      <c r="E125" s="37"/>
    </row>
    <row r="126">
      <c r="A126" s="37"/>
      <c r="B126" s="37"/>
      <c r="C126" s="38"/>
      <c r="D126" s="38"/>
      <c r="E126" s="37"/>
    </row>
    <row r="127">
      <c r="A127" s="37"/>
      <c r="B127" s="37"/>
      <c r="C127" s="38"/>
      <c r="D127" s="38"/>
      <c r="E127" s="37"/>
    </row>
    <row r="128">
      <c r="A128" s="37"/>
      <c r="B128" s="37"/>
      <c r="C128" s="38"/>
      <c r="D128" s="38"/>
      <c r="E128" s="37"/>
    </row>
    <row r="129">
      <c r="A129" s="37"/>
      <c r="B129" s="37"/>
      <c r="C129" s="38"/>
      <c r="D129" s="38"/>
      <c r="E129" s="37"/>
    </row>
    <row r="130">
      <c r="A130" s="37"/>
      <c r="B130" s="37"/>
      <c r="C130" s="38"/>
      <c r="D130" s="38"/>
      <c r="E130" s="37"/>
    </row>
    <row r="131">
      <c r="A131" s="37"/>
      <c r="B131" s="37"/>
      <c r="C131" s="38"/>
      <c r="D131" s="38"/>
      <c r="E131" s="37"/>
    </row>
    <row r="132">
      <c r="A132" s="37"/>
      <c r="B132" s="37"/>
      <c r="C132" s="38"/>
      <c r="D132" s="38"/>
      <c r="E132" s="37"/>
    </row>
    <row r="133">
      <c r="A133" s="37"/>
      <c r="B133" s="37"/>
      <c r="C133" s="38"/>
      <c r="D133" s="38"/>
      <c r="E133" s="37"/>
    </row>
    <row r="134">
      <c r="A134" s="37"/>
      <c r="B134" s="37"/>
      <c r="C134" s="38"/>
      <c r="D134" s="38"/>
      <c r="E134" s="37"/>
    </row>
    <row r="135">
      <c r="A135" s="37"/>
      <c r="B135" s="37"/>
      <c r="C135" s="38"/>
      <c r="D135" s="38"/>
      <c r="E135" s="37"/>
    </row>
    <row r="136">
      <c r="A136" s="37"/>
      <c r="B136" s="37"/>
      <c r="C136" s="38"/>
      <c r="D136" s="38"/>
      <c r="E136" s="37"/>
    </row>
    <row r="137">
      <c r="A137" s="37"/>
      <c r="B137" s="37"/>
      <c r="C137" s="38"/>
      <c r="D137" s="38"/>
      <c r="E137" s="37"/>
    </row>
    <row r="138">
      <c r="A138" s="37"/>
      <c r="B138" s="37"/>
      <c r="C138" s="38"/>
      <c r="D138" s="38"/>
      <c r="E138" s="37"/>
    </row>
    <row r="139">
      <c r="A139" s="37"/>
      <c r="B139" s="37"/>
      <c r="C139" s="38"/>
      <c r="D139" s="38"/>
      <c r="E139" s="37"/>
    </row>
    <row r="140">
      <c r="A140" s="37"/>
      <c r="B140" s="37"/>
      <c r="C140" s="38"/>
      <c r="D140" s="38"/>
      <c r="E140" s="37"/>
    </row>
    <row r="141">
      <c r="A141" s="37"/>
      <c r="B141" s="37"/>
      <c r="C141" s="38"/>
      <c r="D141" s="38"/>
      <c r="E141" s="37"/>
    </row>
    <row r="142">
      <c r="A142" s="37"/>
      <c r="B142" s="37"/>
      <c r="C142" s="38"/>
      <c r="D142" s="38"/>
      <c r="E142" s="37"/>
    </row>
    <row r="143">
      <c r="A143" s="37"/>
      <c r="B143" s="37"/>
      <c r="C143" s="38"/>
      <c r="D143" s="38"/>
      <c r="E143" s="37"/>
    </row>
    <row r="144">
      <c r="A144" s="37"/>
      <c r="B144" s="37"/>
      <c r="C144" s="38"/>
      <c r="D144" s="38"/>
      <c r="E144" s="37"/>
    </row>
    <row r="145">
      <c r="A145" s="37"/>
      <c r="B145" s="37"/>
      <c r="C145" s="38"/>
      <c r="D145" s="38"/>
      <c r="E145" s="37"/>
    </row>
    <row r="146">
      <c r="A146" s="37"/>
      <c r="B146" s="37"/>
      <c r="C146" s="38"/>
      <c r="D146" s="38"/>
      <c r="E146" s="37"/>
    </row>
    <row r="147">
      <c r="A147" s="37"/>
      <c r="B147" s="37"/>
      <c r="C147" s="38"/>
      <c r="D147" s="38"/>
      <c r="E147" s="37"/>
    </row>
    <row r="148">
      <c r="A148" s="37"/>
      <c r="B148" s="37"/>
      <c r="C148" s="38"/>
      <c r="D148" s="38"/>
      <c r="E148" s="37"/>
    </row>
    <row r="149">
      <c r="A149" s="37"/>
      <c r="B149" s="37"/>
      <c r="C149" s="38"/>
      <c r="D149" s="38"/>
      <c r="E149" s="37"/>
    </row>
    <row r="150">
      <c r="A150" s="37"/>
      <c r="B150" s="37"/>
      <c r="C150" s="38"/>
      <c r="D150" s="38"/>
      <c r="E150" s="37"/>
    </row>
    <row r="151">
      <c r="A151" s="37"/>
      <c r="B151" s="37"/>
      <c r="C151" s="38"/>
      <c r="D151" s="38"/>
      <c r="E151" s="37"/>
    </row>
    <row r="152">
      <c r="A152" s="37"/>
      <c r="B152" s="37"/>
      <c r="C152" s="38"/>
      <c r="D152" s="38"/>
      <c r="E152" s="37"/>
    </row>
    <row r="153">
      <c r="A153" s="37"/>
      <c r="B153" s="37"/>
      <c r="C153" s="38"/>
      <c r="D153" s="38"/>
      <c r="E153" s="37"/>
    </row>
    <row r="154">
      <c r="A154" s="37"/>
      <c r="B154" s="37"/>
      <c r="C154" s="38"/>
      <c r="D154" s="38"/>
      <c r="E154" s="37"/>
    </row>
    <row r="155">
      <c r="A155" s="37"/>
      <c r="B155" s="37"/>
      <c r="C155" s="38"/>
      <c r="D155" s="38"/>
      <c r="E155" s="37"/>
    </row>
    <row r="156">
      <c r="A156" s="37"/>
      <c r="B156" s="37"/>
      <c r="C156" s="38"/>
      <c r="D156" s="38"/>
      <c r="E156" s="37"/>
    </row>
    <row r="157">
      <c r="A157" s="37"/>
      <c r="B157" s="37"/>
      <c r="C157" s="38"/>
      <c r="D157" s="38"/>
      <c r="E157" s="37"/>
    </row>
    <row r="158">
      <c r="A158" s="37"/>
      <c r="B158" s="37"/>
      <c r="C158" s="38"/>
      <c r="D158" s="38"/>
      <c r="E158" s="37"/>
    </row>
    <row r="159">
      <c r="A159" s="37"/>
      <c r="B159" s="37"/>
      <c r="C159" s="38"/>
      <c r="D159" s="38"/>
      <c r="E159" s="37"/>
    </row>
    <row r="160">
      <c r="A160" s="37"/>
      <c r="B160" s="37"/>
      <c r="C160" s="38"/>
      <c r="D160" s="38"/>
      <c r="E160" s="37"/>
    </row>
    <row r="161">
      <c r="A161" s="37"/>
      <c r="B161" s="37"/>
      <c r="C161" s="38"/>
      <c r="D161" s="38"/>
      <c r="E161" s="37"/>
    </row>
    <row r="162">
      <c r="A162" s="37"/>
      <c r="B162" s="37"/>
      <c r="C162" s="38"/>
      <c r="D162" s="38"/>
      <c r="E162" s="37"/>
    </row>
    <row r="163">
      <c r="A163" s="37"/>
      <c r="B163" s="37"/>
      <c r="C163" s="38"/>
      <c r="D163" s="38"/>
      <c r="E163" s="37"/>
    </row>
    <row r="164">
      <c r="A164" s="37"/>
      <c r="B164" s="37"/>
      <c r="C164" s="38"/>
      <c r="D164" s="38"/>
      <c r="E164" s="37"/>
    </row>
    <row r="165">
      <c r="A165" s="37"/>
      <c r="B165" s="37"/>
      <c r="C165" s="38"/>
      <c r="D165" s="38"/>
      <c r="E165" s="37"/>
    </row>
    <row r="166">
      <c r="A166" s="37"/>
      <c r="B166" s="37"/>
      <c r="C166" s="38"/>
      <c r="D166" s="38"/>
      <c r="E166" s="37"/>
    </row>
    <row r="167">
      <c r="A167" s="37"/>
      <c r="B167" s="37"/>
      <c r="C167" s="38"/>
      <c r="D167" s="38"/>
      <c r="E167" s="37"/>
    </row>
    <row r="168">
      <c r="A168" s="37"/>
      <c r="B168" s="37"/>
      <c r="C168" s="38"/>
      <c r="D168" s="38"/>
      <c r="E168" s="37"/>
    </row>
    <row r="169">
      <c r="A169" s="37"/>
      <c r="B169" s="37"/>
      <c r="C169" s="38"/>
      <c r="D169" s="38"/>
      <c r="E169" s="37"/>
    </row>
    <row r="170">
      <c r="A170" s="37"/>
      <c r="B170" s="37"/>
      <c r="C170" s="38"/>
      <c r="D170" s="38"/>
      <c r="E170" s="37"/>
    </row>
    <row r="171">
      <c r="A171" s="37"/>
      <c r="B171" s="37"/>
      <c r="C171" s="38"/>
      <c r="D171" s="38"/>
      <c r="E171" s="37"/>
    </row>
    <row r="172">
      <c r="A172" s="37"/>
      <c r="B172" s="37"/>
      <c r="C172" s="38"/>
      <c r="D172" s="38"/>
      <c r="E172" s="37"/>
    </row>
    <row r="173">
      <c r="A173" s="37"/>
      <c r="B173" s="37"/>
      <c r="C173" s="38"/>
      <c r="D173" s="38"/>
      <c r="E173" s="37"/>
    </row>
    <row r="174">
      <c r="A174" s="37"/>
      <c r="B174" s="37"/>
      <c r="C174" s="38"/>
      <c r="D174" s="38"/>
      <c r="E174" s="37"/>
    </row>
    <row r="175">
      <c r="A175" s="37"/>
      <c r="B175" s="37"/>
      <c r="C175" s="38"/>
      <c r="D175" s="38"/>
      <c r="E175" s="37"/>
    </row>
    <row r="176">
      <c r="A176" s="37"/>
      <c r="B176" s="37"/>
      <c r="C176" s="38"/>
      <c r="D176" s="38"/>
      <c r="E176" s="37"/>
    </row>
    <row r="177">
      <c r="A177" s="37"/>
      <c r="B177" s="37"/>
      <c r="C177" s="38"/>
      <c r="D177" s="38"/>
      <c r="E177" s="37"/>
    </row>
    <row r="178">
      <c r="A178" s="37"/>
      <c r="B178" s="37"/>
      <c r="C178" s="38"/>
      <c r="D178" s="38"/>
      <c r="E178" s="37"/>
    </row>
    <row r="179">
      <c r="A179" s="37"/>
      <c r="B179" s="37"/>
      <c r="C179" s="38"/>
      <c r="D179" s="38"/>
      <c r="E179" s="37"/>
    </row>
    <row r="180">
      <c r="A180" s="37"/>
      <c r="B180" s="37"/>
      <c r="C180" s="38"/>
      <c r="D180" s="38"/>
      <c r="E180" s="37"/>
    </row>
    <row r="181">
      <c r="A181" s="37"/>
      <c r="B181" s="37"/>
      <c r="C181" s="38"/>
      <c r="D181" s="38"/>
      <c r="E181" s="37"/>
    </row>
    <row r="182">
      <c r="A182" s="37"/>
      <c r="B182" s="37"/>
      <c r="C182" s="38"/>
      <c r="D182" s="38"/>
      <c r="E182" s="37"/>
    </row>
    <row r="183">
      <c r="A183" s="37"/>
      <c r="B183" s="37"/>
      <c r="C183" s="38"/>
      <c r="D183" s="38"/>
      <c r="E183" s="37"/>
    </row>
    <row r="184">
      <c r="A184" s="37"/>
      <c r="B184" s="37"/>
      <c r="C184" s="38"/>
      <c r="D184" s="38"/>
      <c r="E184" s="37"/>
    </row>
    <row r="185">
      <c r="A185" s="37"/>
      <c r="B185" s="37"/>
      <c r="C185" s="38"/>
      <c r="D185" s="38"/>
      <c r="E185" s="37"/>
    </row>
    <row r="186">
      <c r="A186" s="37"/>
      <c r="B186" s="37"/>
      <c r="C186" s="38"/>
      <c r="D186" s="38"/>
      <c r="E186" s="37"/>
    </row>
    <row r="187">
      <c r="A187" s="37"/>
      <c r="B187" s="37"/>
      <c r="C187" s="38"/>
      <c r="D187" s="38"/>
      <c r="E187" s="37"/>
    </row>
    <row r="188">
      <c r="A188" s="37"/>
      <c r="B188" s="37"/>
      <c r="C188" s="38"/>
      <c r="D188" s="38"/>
      <c r="E188" s="37"/>
    </row>
    <row r="189">
      <c r="A189" s="37"/>
      <c r="B189" s="37"/>
      <c r="C189" s="38"/>
      <c r="D189" s="38"/>
      <c r="E189" s="37"/>
    </row>
    <row r="190">
      <c r="A190" s="37"/>
      <c r="B190" s="37"/>
      <c r="C190" s="38"/>
      <c r="D190" s="38"/>
      <c r="E190" s="37"/>
    </row>
    <row r="191">
      <c r="A191" s="37"/>
      <c r="B191" s="37"/>
      <c r="C191" s="38"/>
      <c r="D191" s="38"/>
      <c r="E191" s="37"/>
    </row>
    <row r="192">
      <c r="A192" s="37"/>
      <c r="B192" s="37"/>
      <c r="C192" s="38"/>
      <c r="D192" s="38"/>
      <c r="E192" s="37"/>
    </row>
    <row r="193">
      <c r="A193" s="37"/>
      <c r="B193" s="37"/>
      <c r="C193" s="38"/>
      <c r="D193" s="38"/>
      <c r="E193" s="37"/>
    </row>
    <row r="194">
      <c r="A194" s="37"/>
      <c r="B194" s="37"/>
      <c r="C194" s="38"/>
      <c r="D194" s="38"/>
      <c r="E194" s="37"/>
    </row>
    <row r="195">
      <c r="A195" s="37"/>
      <c r="B195" s="37"/>
      <c r="C195" s="38"/>
      <c r="D195" s="38"/>
      <c r="E195" s="37"/>
    </row>
    <row r="196">
      <c r="A196" s="37"/>
      <c r="B196" s="37"/>
      <c r="C196" s="38"/>
      <c r="D196" s="38"/>
      <c r="E196" s="37"/>
    </row>
    <row r="197">
      <c r="A197" s="37"/>
      <c r="B197" s="37"/>
      <c r="C197" s="38"/>
      <c r="D197" s="38"/>
      <c r="E197" s="37"/>
    </row>
    <row r="198">
      <c r="A198" s="37"/>
      <c r="B198" s="37"/>
      <c r="C198" s="38"/>
      <c r="D198" s="38"/>
      <c r="E198" s="37"/>
    </row>
    <row r="199">
      <c r="A199" s="37"/>
      <c r="B199" s="37"/>
      <c r="C199" s="38"/>
      <c r="D199" s="38"/>
      <c r="E199" s="37"/>
    </row>
    <row r="200">
      <c r="A200" s="37"/>
      <c r="B200" s="37"/>
      <c r="C200" s="38"/>
      <c r="D200" s="38"/>
      <c r="E200" s="37"/>
    </row>
    <row r="201">
      <c r="A201" s="37"/>
      <c r="B201" s="37"/>
      <c r="C201" s="38"/>
      <c r="D201" s="38"/>
      <c r="E201" s="37"/>
    </row>
    <row r="202">
      <c r="A202" s="37"/>
      <c r="B202" s="37"/>
      <c r="C202" s="38"/>
      <c r="D202" s="38"/>
      <c r="E202" s="37"/>
    </row>
    <row r="203">
      <c r="A203" s="37"/>
      <c r="B203" s="37"/>
      <c r="C203" s="38"/>
      <c r="D203" s="38"/>
      <c r="E203" s="37"/>
    </row>
    <row r="204">
      <c r="A204" s="37"/>
      <c r="B204" s="37"/>
      <c r="C204" s="38"/>
      <c r="D204" s="38"/>
      <c r="E204" s="37"/>
    </row>
    <row r="205">
      <c r="A205" s="37"/>
      <c r="B205" s="37"/>
      <c r="C205" s="38"/>
      <c r="D205" s="38"/>
      <c r="E205" s="37"/>
    </row>
    <row r="206">
      <c r="A206" s="37"/>
      <c r="B206" s="37"/>
      <c r="C206" s="38"/>
      <c r="D206" s="38"/>
      <c r="E206" s="37"/>
    </row>
    <row r="207">
      <c r="A207" s="37"/>
      <c r="B207" s="37"/>
      <c r="C207" s="38"/>
      <c r="D207" s="38"/>
      <c r="E207" s="37"/>
    </row>
    <row r="208">
      <c r="A208" s="37"/>
      <c r="B208" s="37"/>
      <c r="C208" s="38"/>
      <c r="D208" s="38"/>
      <c r="E208" s="37"/>
    </row>
    <row r="209">
      <c r="A209" s="37"/>
      <c r="B209" s="37"/>
      <c r="C209" s="38"/>
      <c r="D209" s="38"/>
      <c r="E209" s="37"/>
    </row>
    <row r="210">
      <c r="A210" s="37"/>
      <c r="B210" s="37"/>
      <c r="C210" s="38"/>
      <c r="D210" s="38"/>
      <c r="E210" s="37"/>
    </row>
    <row r="211">
      <c r="A211" s="37"/>
      <c r="B211" s="37"/>
      <c r="C211" s="38"/>
      <c r="D211" s="38"/>
      <c r="E211" s="37"/>
    </row>
    <row r="212">
      <c r="A212" s="37"/>
      <c r="B212" s="37"/>
      <c r="C212" s="38"/>
      <c r="D212" s="38"/>
      <c r="E212" s="37"/>
    </row>
    <row r="213">
      <c r="A213" s="37"/>
      <c r="B213" s="37"/>
      <c r="C213" s="38"/>
      <c r="D213" s="38"/>
      <c r="E213" s="37"/>
    </row>
    <row r="214">
      <c r="A214" s="37"/>
      <c r="B214" s="37"/>
      <c r="C214" s="38"/>
      <c r="D214" s="38"/>
      <c r="E214" s="37"/>
    </row>
    <row r="215">
      <c r="A215" s="37"/>
      <c r="B215" s="37"/>
      <c r="C215" s="38"/>
      <c r="D215" s="38"/>
      <c r="E215" s="37"/>
    </row>
    <row r="216">
      <c r="A216" s="37"/>
      <c r="B216" s="37"/>
      <c r="C216" s="38"/>
      <c r="D216" s="38"/>
      <c r="E216" s="37"/>
    </row>
    <row r="217">
      <c r="A217" s="37"/>
      <c r="B217" s="37"/>
      <c r="C217" s="38"/>
      <c r="D217" s="38"/>
      <c r="E217" s="37"/>
    </row>
    <row r="218">
      <c r="A218" s="37"/>
      <c r="B218" s="37"/>
      <c r="C218" s="38"/>
      <c r="D218" s="38"/>
      <c r="E218" s="37"/>
    </row>
    <row r="219">
      <c r="A219" s="37"/>
      <c r="B219" s="37"/>
      <c r="C219" s="38"/>
      <c r="D219" s="38"/>
      <c r="E219" s="37"/>
    </row>
    <row r="220">
      <c r="A220" s="37"/>
      <c r="B220" s="37"/>
      <c r="C220" s="38"/>
      <c r="D220" s="38"/>
      <c r="E220" s="37"/>
    </row>
    <row r="221">
      <c r="A221" s="37"/>
      <c r="B221" s="37"/>
      <c r="C221" s="38"/>
      <c r="D221" s="38"/>
      <c r="E221" s="37"/>
    </row>
    <row r="222">
      <c r="A222" s="37"/>
      <c r="B222" s="37"/>
      <c r="C222" s="38"/>
      <c r="D222" s="38"/>
      <c r="E222" s="37"/>
    </row>
    <row r="223">
      <c r="A223" s="37"/>
      <c r="B223" s="37"/>
      <c r="C223" s="38"/>
      <c r="D223" s="38"/>
      <c r="E223" s="37"/>
    </row>
    <row r="224">
      <c r="A224" s="37"/>
      <c r="B224" s="37"/>
      <c r="C224" s="38"/>
      <c r="D224" s="38"/>
      <c r="E224" s="37"/>
    </row>
    <row r="225">
      <c r="A225" s="37"/>
      <c r="B225" s="37"/>
      <c r="C225" s="38"/>
      <c r="D225" s="38"/>
      <c r="E225" s="37"/>
    </row>
    <row r="226">
      <c r="A226" s="37"/>
      <c r="B226" s="37"/>
      <c r="C226" s="38"/>
      <c r="D226" s="38"/>
      <c r="E226" s="37"/>
    </row>
    <row r="227">
      <c r="A227" s="37"/>
      <c r="B227" s="37"/>
      <c r="C227" s="38"/>
      <c r="D227" s="38"/>
      <c r="E227" s="37"/>
    </row>
    <row r="228">
      <c r="A228" s="37"/>
      <c r="B228" s="37"/>
      <c r="C228" s="38"/>
      <c r="D228" s="38"/>
      <c r="E228" s="37"/>
    </row>
    <row r="229">
      <c r="A229" s="37"/>
      <c r="B229" s="37"/>
      <c r="C229" s="38"/>
      <c r="D229" s="38"/>
      <c r="E229" s="37"/>
    </row>
    <row r="230">
      <c r="A230" s="37"/>
      <c r="B230" s="37"/>
      <c r="C230" s="38"/>
      <c r="D230" s="38"/>
      <c r="E230" s="37"/>
    </row>
    <row r="231">
      <c r="A231" s="37"/>
      <c r="B231" s="37"/>
      <c r="C231" s="38"/>
      <c r="D231" s="38"/>
      <c r="E231" s="37"/>
    </row>
    <row r="232">
      <c r="A232" s="37"/>
      <c r="B232" s="37"/>
      <c r="C232" s="38"/>
      <c r="D232" s="38"/>
      <c r="E232" s="37"/>
    </row>
    <row r="233">
      <c r="A233" s="37"/>
      <c r="B233" s="37"/>
      <c r="C233" s="38"/>
      <c r="D233" s="38"/>
      <c r="E233" s="37"/>
    </row>
    <row r="234">
      <c r="A234" s="37"/>
      <c r="B234" s="37"/>
      <c r="C234" s="38"/>
      <c r="D234" s="38"/>
      <c r="E234" s="37"/>
    </row>
    <row r="235">
      <c r="A235" s="37"/>
      <c r="B235" s="37"/>
      <c r="C235" s="38"/>
      <c r="D235" s="38"/>
      <c r="E235" s="37"/>
    </row>
    <row r="236">
      <c r="A236" s="37"/>
      <c r="B236" s="37"/>
      <c r="C236" s="38"/>
      <c r="D236" s="38"/>
      <c r="E236" s="37"/>
    </row>
    <row r="237">
      <c r="A237" s="37"/>
      <c r="B237" s="37"/>
      <c r="C237" s="38"/>
      <c r="D237" s="38"/>
      <c r="E237" s="37"/>
    </row>
    <row r="238">
      <c r="A238" s="37"/>
      <c r="B238" s="37"/>
      <c r="C238" s="38"/>
      <c r="D238" s="38"/>
      <c r="E238" s="37"/>
    </row>
    <row r="239">
      <c r="A239" s="37"/>
      <c r="B239" s="37"/>
      <c r="C239" s="38"/>
      <c r="D239" s="38"/>
      <c r="E239" s="37"/>
    </row>
    <row r="240">
      <c r="A240" s="37"/>
      <c r="B240" s="37"/>
      <c r="C240" s="38"/>
      <c r="D240" s="38"/>
      <c r="E240" s="37"/>
    </row>
    <row r="241">
      <c r="A241" s="37"/>
      <c r="B241" s="37"/>
      <c r="C241" s="38"/>
      <c r="D241" s="38"/>
      <c r="E241" s="37"/>
    </row>
    <row r="242">
      <c r="A242" s="37"/>
      <c r="B242" s="37"/>
      <c r="C242" s="38"/>
      <c r="D242" s="38"/>
      <c r="E242" s="37"/>
    </row>
    <row r="243">
      <c r="A243" s="37"/>
      <c r="B243" s="37"/>
      <c r="C243" s="38"/>
      <c r="D243" s="38"/>
      <c r="E243" s="37"/>
    </row>
    <row r="244">
      <c r="A244" s="37"/>
      <c r="B244" s="37"/>
      <c r="C244" s="38"/>
      <c r="D244" s="38"/>
      <c r="E244" s="37"/>
    </row>
    <row r="245">
      <c r="A245" s="37"/>
      <c r="B245" s="37"/>
      <c r="C245" s="38"/>
      <c r="D245" s="38"/>
      <c r="E245" s="37"/>
    </row>
    <row r="246">
      <c r="A246" s="37"/>
      <c r="B246" s="37"/>
      <c r="C246" s="38"/>
      <c r="D246" s="38"/>
      <c r="E246" s="37"/>
    </row>
    <row r="247">
      <c r="A247" s="37"/>
      <c r="B247" s="37"/>
      <c r="C247" s="38"/>
      <c r="D247" s="38"/>
      <c r="E247" s="37"/>
    </row>
    <row r="248">
      <c r="A248" s="37"/>
      <c r="B248" s="37"/>
      <c r="C248" s="38"/>
      <c r="D248" s="38"/>
      <c r="E248" s="37"/>
    </row>
    <row r="249">
      <c r="A249" s="37"/>
      <c r="B249" s="37"/>
      <c r="C249" s="38"/>
      <c r="D249" s="38"/>
      <c r="E249" s="37"/>
    </row>
    <row r="250">
      <c r="A250" s="37"/>
      <c r="B250" s="37"/>
      <c r="C250" s="38"/>
      <c r="D250" s="38"/>
      <c r="E250" s="37"/>
    </row>
    <row r="251">
      <c r="A251" s="37"/>
      <c r="B251" s="37"/>
      <c r="C251" s="38"/>
      <c r="D251" s="38"/>
      <c r="E251" s="37"/>
    </row>
    <row r="252">
      <c r="A252" s="37"/>
      <c r="B252" s="37"/>
      <c r="C252" s="38"/>
      <c r="D252" s="38"/>
      <c r="E252" s="37"/>
    </row>
    <row r="253">
      <c r="A253" s="37"/>
      <c r="B253" s="37"/>
      <c r="C253" s="38"/>
      <c r="D253" s="38"/>
      <c r="E253" s="37"/>
    </row>
    <row r="254">
      <c r="A254" s="37"/>
      <c r="B254" s="37"/>
      <c r="C254" s="38"/>
      <c r="D254" s="38"/>
      <c r="E254" s="37"/>
    </row>
    <row r="255">
      <c r="A255" s="37"/>
      <c r="B255" s="37"/>
      <c r="C255" s="38"/>
      <c r="D255" s="38"/>
      <c r="E255" s="37"/>
    </row>
    <row r="256">
      <c r="A256" s="37"/>
      <c r="B256" s="37"/>
      <c r="C256" s="38"/>
      <c r="D256" s="38"/>
      <c r="E256" s="37"/>
    </row>
    <row r="257">
      <c r="A257" s="37"/>
      <c r="B257" s="37"/>
      <c r="C257" s="38"/>
      <c r="D257" s="38"/>
      <c r="E257" s="37"/>
    </row>
    <row r="258">
      <c r="A258" s="37"/>
      <c r="B258" s="37"/>
      <c r="C258" s="38"/>
      <c r="D258" s="38"/>
      <c r="E258" s="37"/>
    </row>
    <row r="259">
      <c r="A259" s="37"/>
      <c r="B259" s="37"/>
      <c r="C259" s="38"/>
      <c r="D259" s="38"/>
      <c r="E259" s="37"/>
    </row>
    <row r="260">
      <c r="A260" s="37"/>
      <c r="B260" s="37"/>
      <c r="C260" s="38"/>
      <c r="D260" s="38"/>
      <c r="E260" s="37"/>
    </row>
    <row r="261">
      <c r="A261" s="37"/>
      <c r="B261" s="37"/>
      <c r="C261" s="38"/>
      <c r="D261" s="38"/>
      <c r="E261" s="37"/>
    </row>
    <row r="262">
      <c r="A262" s="37"/>
      <c r="B262" s="37"/>
      <c r="C262" s="38"/>
      <c r="D262" s="38"/>
      <c r="E262" s="37"/>
    </row>
    <row r="263">
      <c r="A263" s="37"/>
      <c r="B263" s="37"/>
      <c r="C263" s="38"/>
      <c r="D263" s="38"/>
      <c r="E263" s="37"/>
    </row>
    <row r="264">
      <c r="A264" s="37"/>
      <c r="B264" s="37"/>
      <c r="C264" s="38"/>
      <c r="D264" s="38"/>
      <c r="E264" s="37"/>
    </row>
    <row r="265">
      <c r="A265" s="37"/>
      <c r="B265" s="37"/>
      <c r="C265" s="38"/>
      <c r="D265" s="38"/>
      <c r="E265" s="37"/>
    </row>
    <row r="266">
      <c r="A266" s="37"/>
      <c r="B266" s="37"/>
      <c r="C266" s="38"/>
      <c r="D266" s="38"/>
      <c r="E266" s="37"/>
    </row>
    <row r="267">
      <c r="A267" s="37"/>
      <c r="B267" s="37"/>
      <c r="C267" s="38"/>
      <c r="D267" s="38"/>
      <c r="E267" s="37"/>
    </row>
    <row r="268">
      <c r="A268" s="37"/>
      <c r="B268" s="37"/>
      <c r="C268" s="38"/>
      <c r="D268" s="38"/>
      <c r="E268" s="37"/>
    </row>
    <row r="269">
      <c r="A269" s="37"/>
      <c r="B269" s="37"/>
      <c r="C269" s="38"/>
      <c r="D269" s="38"/>
      <c r="E269" s="37"/>
    </row>
    <row r="270">
      <c r="A270" s="37"/>
      <c r="B270" s="37"/>
      <c r="C270" s="38"/>
      <c r="D270" s="38"/>
      <c r="E270" s="37"/>
    </row>
    <row r="271">
      <c r="A271" s="37"/>
      <c r="B271" s="37"/>
      <c r="C271" s="38"/>
      <c r="D271" s="38"/>
      <c r="E271" s="37"/>
    </row>
    <row r="272">
      <c r="A272" s="37"/>
      <c r="B272" s="37"/>
      <c r="C272" s="38"/>
      <c r="D272" s="38"/>
      <c r="E272" s="37"/>
    </row>
    <row r="273">
      <c r="A273" s="37"/>
      <c r="B273" s="37"/>
      <c r="C273" s="38"/>
      <c r="D273" s="38"/>
      <c r="E273" s="37"/>
    </row>
    <row r="274">
      <c r="A274" s="37"/>
      <c r="B274" s="37"/>
      <c r="C274" s="38"/>
      <c r="D274" s="38"/>
      <c r="E274" s="37"/>
    </row>
    <row r="275">
      <c r="A275" s="37"/>
      <c r="B275" s="37"/>
      <c r="C275" s="38"/>
      <c r="D275" s="38"/>
      <c r="E275" s="37"/>
    </row>
    <row r="276">
      <c r="A276" s="37"/>
      <c r="B276" s="37"/>
      <c r="C276" s="38"/>
      <c r="D276" s="38"/>
      <c r="E276" s="37"/>
    </row>
    <row r="277">
      <c r="A277" s="37"/>
      <c r="B277" s="37"/>
      <c r="C277" s="38"/>
      <c r="D277" s="38"/>
      <c r="E277" s="37"/>
    </row>
    <row r="278">
      <c r="A278" s="37"/>
      <c r="B278" s="37"/>
      <c r="C278" s="38"/>
      <c r="D278" s="38"/>
      <c r="E278" s="37"/>
    </row>
    <row r="279">
      <c r="A279" s="37"/>
      <c r="B279" s="37"/>
      <c r="C279" s="38"/>
      <c r="D279" s="38"/>
      <c r="E279" s="37"/>
    </row>
    <row r="280">
      <c r="A280" s="37"/>
      <c r="B280" s="37"/>
      <c r="C280" s="38"/>
      <c r="D280" s="38"/>
      <c r="E280" s="37"/>
    </row>
    <row r="281">
      <c r="A281" s="37"/>
      <c r="B281" s="37"/>
      <c r="C281" s="38"/>
      <c r="D281" s="38"/>
      <c r="E281" s="37"/>
    </row>
    <row r="282">
      <c r="A282" s="37"/>
      <c r="B282" s="37"/>
      <c r="C282" s="38"/>
      <c r="D282" s="38"/>
      <c r="E282" s="37"/>
    </row>
    <row r="283">
      <c r="A283" s="37"/>
      <c r="B283" s="37"/>
      <c r="C283" s="38"/>
      <c r="D283" s="38"/>
      <c r="E283" s="37"/>
    </row>
    <row r="284">
      <c r="A284" s="37"/>
      <c r="B284" s="37"/>
      <c r="C284" s="38"/>
      <c r="D284" s="38"/>
      <c r="E284" s="37"/>
    </row>
    <row r="285">
      <c r="A285" s="37"/>
      <c r="B285" s="37"/>
      <c r="C285" s="38"/>
      <c r="D285" s="38"/>
      <c r="E285" s="37"/>
    </row>
    <row r="286">
      <c r="A286" s="37"/>
      <c r="B286" s="37"/>
      <c r="C286" s="38"/>
      <c r="D286" s="38"/>
      <c r="E286" s="37"/>
    </row>
    <row r="287">
      <c r="A287" s="37"/>
      <c r="B287" s="37"/>
      <c r="C287" s="38"/>
      <c r="D287" s="38"/>
      <c r="E287" s="37"/>
    </row>
    <row r="288">
      <c r="A288" s="37"/>
      <c r="B288" s="37"/>
      <c r="C288" s="38"/>
      <c r="D288" s="38"/>
      <c r="E288" s="37"/>
    </row>
    <row r="289">
      <c r="A289" s="37"/>
      <c r="B289" s="37"/>
      <c r="C289" s="38"/>
      <c r="D289" s="38"/>
      <c r="E289" s="37"/>
    </row>
    <row r="290">
      <c r="A290" s="37"/>
      <c r="B290" s="37"/>
      <c r="C290" s="38"/>
      <c r="D290" s="38"/>
      <c r="E290" s="37"/>
    </row>
    <row r="291">
      <c r="A291" s="37"/>
      <c r="B291" s="37"/>
      <c r="C291" s="38"/>
      <c r="D291" s="38"/>
      <c r="E291" s="37"/>
    </row>
    <row r="292">
      <c r="A292" s="37"/>
      <c r="B292" s="37"/>
      <c r="C292" s="38"/>
      <c r="D292" s="38"/>
      <c r="E292" s="37"/>
    </row>
    <row r="293">
      <c r="A293" s="37"/>
      <c r="B293" s="37"/>
      <c r="C293" s="38"/>
      <c r="D293" s="38"/>
      <c r="E293" s="37"/>
    </row>
    <row r="294">
      <c r="A294" s="37"/>
      <c r="B294" s="37"/>
      <c r="C294" s="38"/>
      <c r="D294" s="38"/>
      <c r="E294" s="37"/>
    </row>
    <row r="295">
      <c r="A295" s="37"/>
      <c r="B295" s="37"/>
      <c r="C295" s="38"/>
      <c r="D295" s="38"/>
      <c r="E295" s="37"/>
    </row>
    <row r="296">
      <c r="A296" s="37"/>
      <c r="B296" s="37"/>
      <c r="C296" s="38"/>
      <c r="D296" s="38"/>
      <c r="E296" s="37"/>
    </row>
    <row r="297">
      <c r="A297" s="37"/>
      <c r="B297" s="37"/>
      <c r="C297" s="38"/>
      <c r="D297" s="38"/>
      <c r="E297" s="37"/>
    </row>
    <row r="298">
      <c r="A298" s="37"/>
      <c r="B298" s="37"/>
      <c r="C298" s="38"/>
      <c r="D298" s="38"/>
      <c r="E298" s="37"/>
    </row>
    <row r="299">
      <c r="A299" s="37"/>
      <c r="B299" s="37"/>
      <c r="C299" s="38"/>
      <c r="D299" s="38"/>
      <c r="E299" s="37"/>
    </row>
    <row r="300">
      <c r="A300" s="37"/>
      <c r="B300" s="37"/>
      <c r="C300" s="38"/>
      <c r="D300" s="38"/>
      <c r="E300" s="37"/>
    </row>
    <row r="301">
      <c r="A301" s="37"/>
      <c r="B301" s="37"/>
      <c r="C301" s="38"/>
      <c r="D301" s="38"/>
      <c r="E301" s="37"/>
    </row>
    <row r="302">
      <c r="A302" s="37"/>
      <c r="B302" s="37"/>
      <c r="C302" s="38"/>
      <c r="D302" s="38"/>
      <c r="E302" s="37"/>
    </row>
    <row r="303">
      <c r="A303" s="37"/>
      <c r="B303" s="37"/>
      <c r="C303" s="38"/>
      <c r="D303" s="38"/>
      <c r="E303" s="37"/>
    </row>
    <row r="304">
      <c r="A304" s="37"/>
      <c r="B304" s="37"/>
      <c r="C304" s="38"/>
      <c r="D304" s="38"/>
      <c r="E304" s="37"/>
    </row>
    <row r="305">
      <c r="A305" s="37"/>
      <c r="B305" s="37"/>
      <c r="C305" s="38"/>
      <c r="D305" s="38"/>
      <c r="E305" s="37"/>
    </row>
    <row r="306">
      <c r="A306" s="37"/>
      <c r="B306" s="37"/>
      <c r="C306" s="38"/>
      <c r="D306" s="38"/>
      <c r="E306" s="37"/>
    </row>
    <row r="307">
      <c r="A307" s="37"/>
      <c r="B307" s="37"/>
      <c r="C307" s="38"/>
      <c r="D307" s="38"/>
      <c r="E307" s="37"/>
    </row>
    <row r="308">
      <c r="A308" s="37"/>
      <c r="B308" s="37"/>
      <c r="C308" s="38"/>
      <c r="D308" s="38"/>
      <c r="E308" s="37"/>
    </row>
    <row r="309">
      <c r="A309" s="37"/>
      <c r="B309" s="37"/>
      <c r="C309" s="38"/>
      <c r="D309" s="38"/>
      <c r="E309" s="37"/>
    </row>
    <row r="310">
      <c r="A310" s="37"/>
      <c r="B310" s="37"/>
      <c r="C310" s="38"/>
      <c r="D310" s="38"/>
      <c r="E310" s="37"/>
    </row>
    <row r="311">
      <c r="A311" s="37"/>
      <c r="B311" s="37"/>
      <c r="C311" s="38"/>
      <c r="D311" s="38"/>
      <c r="E311" s="37"/>
    </row>
    <row r="312">
      <c r="A312" s="37"/>
      <c r="B312" s="37"/>
      <c r="C312" s="38"/>
      <c r="D312" s="38"/>
      <c r="E312" s="37"/>
    </row>
    <row r="313">
      <c r="A313" s="37"/>
      <c r="B313" s="37"/>
      <c r="C313" s="38"/>
      <c r="D313" s="38"/>
      <c r="E313" s="37"/>
    </row>
    <row r="314">
      <c r="A314" s="37"/>
      <c r="B314" s="37"/>
      <c r="C314" s="38"/>
      <c r="D314" s="38"/>
      <c r="E314" s="37"/>
    </row>
    <row r="315">
      <c r="A315" s="37"/>
      <c r="B315" s="37"/>
      <c r="C315" s="38"/>
      <c r="D315" s="38"/>
      <c r="E315" s="37"/>
    </row>
    <row r="316">
      <c r="A316" s="37"/>
      <c r="B316" s="37"/>
      <c r="C316" s="38"/>
      <c r="D316" s="38"/>
      <c r="E316" s="37"/>
    </row>
    <row r="317">
      <c r="A317" s="37"/>
      <c r="B317" s="37"/>
      <c r="C317" s="38"/>
      <c r="D317" s="38"/>
      <c r="E317" s="37"/>
    </row>
    <row r="318">
      <c r="A318" s="37"/>
      <c r="B318" s="37"/>
      <c r="C318" s="38"/>
      <c r="D318" s="38"/>
      <c r="E318" s="37"/>
    </row>
    <row r="319">
      <c r="A319" s="37"/>
      <c r="B319" s="37"/>
      <c r="C319" s="38"/>
      <c r="D319" s="38"/>
      <c r="E319" s="37"/>
    </row>
    <row r="320">
      <c r="A320" s="37"/>
      <c r="B320" s="37"/>
      <c r="C320" s="38"/>
      <c r="D320" s="38"/>
      <c r="E320" s="37"/>
    </row>
    <row r="321">
      <c r="A321" s="37"/>
      <c r="B321" s="37"/>
      <c r="C321" s="38"/>
      <c r="D321" s="38"/>
      <c r="E321" s="37"/>
    </row>
    <row r="322">
      <c r="A322" s="37"/>
      <c r="B322" s="37"/>
      <c r="C322" s="38"/>
      <c r="D322" s="38"/>
      <c r="E322" s="37"/>
    </row>
    <row r="323">
      <c r="A323" s="37"/>
      <c r="B323" s="37"/>
      <c r="C323" s="38"/>
      <c r="D323" s="38"/>
      <c r="E323" s="37"/>
    </row>
    <row r="324">
      <c r="A324" s="37"/>
      <c r="B324" s="37"/>
      <c r="C324" s="38"/>
      <c r="D324" s="38"/>
      <c r="E324" s="37"/>
    </row>
    <row r="325">
      <c r="A325" s="37"/>
      <c r="B325" s="37"/>
      <c r="C325" s="38"/>
      <c r="D325" s="38"/>
      <c r="E325" s="37"/>
    </row>
    <row r="326">
      <c r="A326" s="37"/>
      <c r="B326" s="37"/>
      <c r="C326" s="38"/>
      <c r="D326" s="38"/>
      <c r="E326" s="37"/>
    </row>
    <row r="327">
      <c r="A327" s="37"/>
      <c r="B327" s="37"/>
      <c r="C327" s="38"/>
      <c r="D327" s="38"/>
      <c r="E327" s="37"/>
    </row>
    <row r="328">
      <c r="A328" s="37"/>
      <c r="B328" s="37"/>
      <c r="C328" s="38"/>
      <c r="D328" s="38"/>
      <c r="E328" s="37"/>
    </row>
    <row r="329">
      <c r="A329" s="37"/>
      <c r="B329" s="37"/>
      <c r="C329" s="38"/>
      <c r="D329" s="38"/>
      <c r="E329" s="37"/>
    </row>
    <row r="330">
      <c r="A330" s="37"/>
      <c r="B330" s="37"/>
      <c r="C330" s="38"/>
      <c r="D330" s="38"/>
      <c r="E330" s="37"/>
    </row>
    <row r="331">
      <c r="A331" s="37"/>
      <c r="B331" s="37"/>
      <c r="C331" s="38"/>
      <c r="D331" s="38"/>
      <c r="E331" s="37"/>
    </row>
    <row r="332">
      <c r="A332" s="37"/>
      <c r="B332" s="37"/>
      <c r="C332" s="38"/>
      <c r="D332" s="38"/>
      <c r="E332" s="37"/>
    </row>
    <row r="333">
      <c r="A333" s="37"/>
      <c r="B333" s="37"/>
      <c r="C333" s="38"/>
      <c r="D333" s="38"/>
      <c r="E333" s="37"/>
    </row>
    <row r="334">
      <c r="A334" s="37"/>
      <c r="B334" s="37"/>
      <c r="C334" s="38"/>
      <c r="D334" s="38"/>
      <c r="E334" s="37"/>
    </row>
    <row r="335">
      <c r="A335" s="37"/>
      <c r="B335" s="37"/>
      <c r="C335" s="38"/>
      <c r="D335" s="38"/>
      <c r="E335" s="37"/>
    </row>
    <row r="336">
      <c r="A336" s="37"/>
      <c r="B336" s="37"/>
      <c r="C336" s="38"/>
      <c r="D336" s="38"/>
      <c r="E336" s="37"/>
    </row>
    <row r="337">
      <c r="A337" s="37"/>
      <c r="B337" s="37"/>
      <c r="C337" s="38"/>
      <c r="D337" s="38"/>
      <c r="E337" s="37"/>
    </row>
    <row r="338">
      <c r="A338" s="37"/>
      <c r="B338" s="37"/>
      <c r="C338" s="38"/>
      <c r="D338" s="38"/>
      <c r="E338" s="37"/>
    </row>
    <row r="339">
      <c r="A339" s="37"/>
      <c r="B339" s="37"/>
      <c r="C339" s="38"/>
      <c r="D339" s="38"/>
      <c r="E339" s="37"/>
    </row>
    <row r="340">
      <c r="A340" s="37"/>
      <c r="B340" s="37"/>
      <c r="C340" s="38"/>
      <c r="D340" s="38"/>
      <c r="E340" s="37"/>
    </row>
    <row r="341">
      <c r="A341" s="37"/>
      <c r="B341" s="37"/>
      <c r="C341" s="38"/>
      <c r="D341" s="38"/>
      <c r="E341" s="37"/>
    </row>
    <row r="342">
      <c r="A342" s="37"/>
      <c r="B342" s="37"/>
      <c r="C342" s="38"/>
      <c r="D342" s="38"/>
      <c r="E342" s="37"/>
    </row>
    <row r="343">
      <c r="A343" s="37"/>
      <c r="B343" s="37"/>
      <c r="C343" s="38"/>
      <c r="D343" s="38"/>
      <c r="E343" s="37"/>
    </row>
    <row r="344">
      <c r="A344" s="37"/>
      <c r="B344" s="37"/>
      <c r="C344" s="38"/>
      <c r="D344" s="38"/>
      <c r="E344" s="37"/>
    </row>
    <row r="345">
      <c r="A345" s="37"/>
      <c r="B345" s="37"/>
      <c r="C345" s="38"/>
      <c r="D345" s="38"/>
      <c r="E345" s="37"/>
    </row>
    <row r="346">
      <c r="A346" s="37"/>
      <c r="B346" s="37"/>
      <c r="C346" s="38"/>
      <c r="D346" s="38"/>
      <c r="E346" s="37"/>
    </row>
    <row r="347">
      <c r="A347" s="37"/>
      <c r="B347" s="37"/>
      <c r="C347" s="38"/>
      <c r="D347" s="38"/>
      <c r="E347" s="37"/>
    </row>
    <row r="348">
      <c r="A348" s="37"/>
      <c r="B348" s="37"/>
      <c r="C348" s="38"/>
      <c r="D348" s="38"/>
      <c r="E348" s="37"/>
    </row>
    <row r="349">
      <c r="A349" s="37"/>
      <c r="B349" s="37"/>
      <c r="C349" s="38"/>
      <c r="D349" s="38"/>
      <c r="E349" s="37"/>
    </row>
    <row r="350">
      <c r="A350" s="37"/>
      <c r="B350" s="37"/>
      <c r="C350" s="38"/>
      <c r="D350" s="38"/>
      <c r="E350" s="37"/>
    </row>
    <row r="351">
      <c r="A351" s="37"/>
      <c r="B351" s="37"/>
      <c r="C351" s="38"/>
      <c r="D351" s="38"/>
      <c r="E351" s="37"/>
    </row>
    <row r="352">
      <c r="A352" s="37"/>
      <c r="B352" s="37"/>
      <c r="C352" s="38"/>
      <c r="D352" s="38"/>
      <c r="E352" s="37"/>
    </row>
    <row r="353">
      <c r="A353" s="37"/>
      <c r="B353" s="37"/>
      <c r="C353" s="38"/>
      <c r="D353" s="38"/>
      <c r="E353" s="37"/>
    </row>
    <row r="354">
      <c r="A354" s="37"/>
      <c r="B354" s="37"/>
      <c r="C354" s="38"/>
      <c r="D354" s="38"/>
      <c r="E354" s="37"/>
    </row>
    <row r="355">
      <c r="A355" s="37"/>
      <c r="B355" s="37"/>
      <c r="C355" s="38"/>
      <c r="D355" s="38"/>
      <c r="E355" s="37"/>
    </row>
    <row r="356">
      <c r="A356" s="37"/>
      <c r="B356" s="37"/>
      <c r="C356" s="38"/>
      <c r="D356" s="38"/>
      <c r="E356" s="37"/>
    </row>
    <row r="357">
      <c r="A357" s="37"/>
      <c r="B357" s="37"/>
      <c r="C357" s="38"/>
      <c r="D357" s="38"/>
      <c r="E357" s="37"/>
    </row>
    <row r="358">
      <c r="A358" s="37"/>
      <c r="B358" s="37"/>
      <c r="C358" s="38"/>
      <c r="D358" s="38"/>
      <c r="E358" s="37"/>
    </row>
    <row r="359">
      <c r="A359" s="37"/>
      <c r="B359" s="37"/>
      <c r="C359" s="38"/>
      <c r="D359" s="38"/>
      <c r="E359" s="37"/>
    </row>
    <row r="360">
      <c r="A360" s="37"/>
      <c r="B360" s="37"/>
      <c r="C360" s="38"/>
      <c r="D360" s="38"/>
      <c r="E360" s="37"/>
    </row>
    <row r="361">
      <c r="A361" s="37"/>
      <c r="B361" s="37"/>
      <c r="C361" s="38"/>
      <c r="D361" s="38"/>
      <c r="E361" s="37"/>
    </row>
    <row r="362">
      <c r="A362" s="37"/>
      <c r="B362" s="37"/>
      <c r="C362" s="38"/>
      <c r="D362" s="38"/>
      <c r="E362" s="37"/>
    </row>
    <row r="363">
      <c r="A363" s="37"/>
      <c r="B363" s="37"/>
      <c r="C363" s="38"/>
      <c r="D363" s="38"/>
      <c r="E363" s="37"/>
    </row>
    <row r="364">
      <c r="A364" s="37"/>
      <c r="B364" s="37"/>
      <c r="C364" s="38"/>
      <c r="D364" s="38"/>
      <c r="E364" s="37"/>
    </row>
    <row r="365">
      <c r="A365" s="37"/>
      <c r="B365" s="37"/>
      <c r="C365" s="38"/>
      <c r="D365" s="38"/>
      <c r="E365" s="37"/>
    </row>
    <row r="366">
      <c r="A366" s="37"/>
      <c r="B366" s="37"/>
      <c r="C366" s="38"/>
      <c r="D366" s="38"/>
      <c r="E366" s="37"/>
    </row>
    <row r="367">
      <c r="A367" s="37"/>
      <c r="B367" s="37"/>
      <c r="C367" s="38"/>
      <c r="D367" s="38"/>
      <c r="E367" s="37"/>
    </row>
    <row r="368">
      <c r="A368" s="37"/>
      <c r="B368" s="37"/>
      <c r="C368" s="38"/>
      <c r="D368" s="38"/>
      <c r="E368" s="37"/>
    </row>
    <row r="369">
      <c r="A369" s="37"/>
      <c r="B369" s="37"/>
      <c r="C369" s="38"/>
      <c r="D369" s="38"/>
      <c r="E369" s="37"/>
    </row>
    <row r="370">
      <c r="A370" s="37"/>
      <c r="B370" s="37"/>
      <c r="C370" s="38"/>
      <c r="D370" s="38"/>
      <c r="E370" s="37"/>
    </row>
    <row r="371">
      <c r="A371" s="37"/>
      <c r="B371" s="37"/>
      <c r="C371" s="38"/>
      <c r="D371" s="38"/>
      <c r="E371" s="37"/>
    </row>
    <row r="372">
      <c r="A372" s="37"/>
      <c r="B372" s="37"/>
      <c r="C372" s="38"/>
      <c r="D372" s="38"/>
      <c r="E372" s="37"/>
    </row>
    <row r="373">
      <c r="A373" s="37"/>
      <c r="B373" s="37"/>
      <c r="C373" s="38"/>
      <c r="D373" s="38"/>
      <c r="E373" s="37"/>
    </row>
    <row r="374">
      <c r="A374" s="37"/>
      <c r="B374" s="37"/>
      <c r="C374" s="38"/>
      <c r="D374" s="38"/>
      <c r="E374" s="37"/>
    </row>
    <row r="375">
      <c r="A375" s="37"/>
      <c r="B375" s="37"/>
      <c r="C375" s="38"/>
      <c r="D375" s="38"/>
      <c r="E375" s="37"/>
    </row>
    <row r="376">
      <c r="A376" s="37"/>
      <c r="B376" s="37"/>
      <c r="C376" s="38"/>
      <c r="D376" s="38"/>
      <c r="E376" s="37"/>
    </row>
    <row r="377">
      <c r="A377" s="37"/>
      <c r="B377" s="37"/>
      <c r="C377" s="38"/>
      <c r="D377" s="38"/>
      <c r="E377" s="37"/>
    </row>
    <row r="378">
      <c r="A378" s="37"/>
      <c r="B378" s="37"/>
      <c r="C378" s="38"/>
      <c r="D378" s="38"/>
      <c r="E378" s="37"/>
    </row>
    <row r="379">
      <c r="A379" s="37"/>
      <c r="B379" s="37"/>
      <c r="C379" s="38"/>
      <c r="D379" s="38"/>
      <c r="E379" s="37"/>
    </row>
    <row r="380">
      <c r="A380" s="37"/>
      <c r="B380" s="37"/>
      <c r="C380" s="38"/>
      <c r="D380" s="38"/>
      <c r="E380" s="37"/>
    </row>
    <row r="381">
      <c r="A381" s="37"/>
      <c r="B381" s="37"/>
      <c r="C381" s="38"/>
      <c r="D381" s="38"/>
      <c r="E381" s="37"/>
    </row>
    <row r="382">
      <c r="A382" s="37"/>
      <c r="B382" s="37"/>
      <c r="C382" s="38"/>
      <c r="D382" s="38"/>
      <c r="E382" s="37"/>
    </row>
    <row r="383">
      <c r="A383" s="37"/>
      <c r="B383" s="37"/>
      <c r="C383" s="38"/>
      <c r="D383" s="38"/>
      <c r="E383" s="37"/>
    </row>
    <row r="384">
      <c r="A384" s="37"/>
      <c r="B384" s="37"/>
      <c r="C384" s="38"/>
      <c r="D384" s="38"/>
      <c r="E384" s="37"/>
    </row>
    <row r="385">
      <c r="A385" s="37"/>
      <c r="B385" s="37"/>
      <c r="C385" s="38"/>
      <c r="D385" s="38"/>
      <c r="E385" s="37"/>
    </row>
    <row r="386">
      <c r="A386" s="37"/>
      <c r="B386" s="37"/>
      <c r="C386" s="38"/>
      <c r="D386" s="38"/>
      <c r="E386" s="37"/>
    </row>
    <row r="387">
      <c r="A387" s="37"/>
      <c r="B387" s="37"/>
      <c r="C387" s="38"/>
      <c r="D387" s="38"/>
      <c r="E387" s="37"/>
    </row>
    <row r="388">
      <c r="A388" s="37"/>
      <c r="B388" s="37"/>
      <c r="C388" s="38"/>
      <c r="D388" s="38"/>
      <c r="E388" s="37"/>
    </row>
    <row r="389">
      <c r="A389" s="37"/>
      <c r="B389" s="37"/>
      <c r="C389" s="38"/>
      <c r="D389" s="38"/>
      <c r="E389" s="37"/>
    </row>
    <row r="390">
      <c r="A390" s="37"/>
      <c r="B390" s="37"/>
      <c r="C390" s="38"/>
      <c r="D390" s="38"/>
      <c r="E390" s="37"/>
    </row>
    <row r="391">
      <c r="A391" s="37"/>
      <c r="B391" s="37"/>
      <c r="C391" s="38"/>
      <c r="D391" s="38"/>
      <c r="E391" s="37"/>
    </row>
    <row r="392">
      <c r="A392" s="37"/>
      <c r="B392" s="37"/>
      <c r="C392" s="38"/>
      <c r="D392" s="38"/>
      <c r="E392" s="37"/>
    </row>
    <row r="393">
      <c r="A393" s="37"/>
      <c r="B393" s="37"/>
      <c r="C393" s="38"/>
      <c r="D393" s="38"/>
      <c r="E393" s="37"/>
    </row>
    <row r="394">
      <c r="A394" s="37"/>
      <c r="B394" s="37"/>
      <c r="C394" s="38"/>
      <c r="D394" s="38"/>
      <c r="E394" s="37"/>
    </row>
    <row r="395">
      <c r="A395" s="37"/>
      <c r="B395" s="37"/>
      <c r="C395" s="38"/>
      <c r="D395" s="38"/>
      <c r="E395" s="37"/>
    </row>
    <row r="396">
      <c r="A396" s="37"/>
      <c r="B396" s="37"/>
      <c r="C396" s="38"/>
      <c r="D396" s="38"/>
      <c r="E396" s="37"/>
    </row>
    <row r="397">
      <c r="A397" s="37"/>
      <c r="B397" s="37"/>
      <c r="C397" s="38"/>
      <c r="D397" s="38"/>
      <c r="E397" s="37"/>
    </row>
    <row r="398">
      <c r="A398" s="37"/>
      <c r="B398" s="37"/>
      <c r="C398" s="38"/>
      <c r="D398" s="38"/>
      <c r="E398" s="37"/>
    </row>
    <row r="399">
      <c r="A399" s="37"/>
      <c r="B399" s="37"/>
      <c r="C399" s="38"/>
      <c r="D399" s="38"/>
      <c r="E399" s="37"/>
    </row>
    <row r="400">
      <c r="A400" s="37"/>
      <c r="B400" s="37"/>
      <c r="C400" s="38"/>
      <c r="D400" s="38"/>
      <c r="E400" s="37"/>
    </row>
    <row r="401">
      <c r="A401" s="37"/>
      <c r="B401" s="37"/>
      <c r="C401" s="38"/>
      <c r="D401" s="38"/>
      <c r="E401" s="37"/>
    </row>
    <row r="402">
      <c r="A402" s="37"/>
      <c r="B402" s="37"/>
      <c r="C402" s="38"/>
      <c r="D402" s="38"/>
      <c r="E402" s="37"/>
    </row>
    <row r="403">
      <c r="A403" s="37"/>
      <c r="B403" s="37"/>
      <c r="C403" s="38"/>
      <c r="D403" s="38"/>
      <c r="E403" s="37"/>
    </row>
    <row r="404">
      <c r="A404" s="37"/>
      <c r="B404" s="37"/>
      <c r="C404" s="38"/>
      <c r="D404" s="38"/>
      <c r="E404" s="37"/>
    </row>
    <row r="405">
      <c r="A405" s="37"/>
      <c r="B405" s="37"/>
      <c r="C405" s="38"/>
      <c r="D405" s="38"/>
      <c r="E405" s="37"/>
    </row>
    <row r="406">
      <c r="A406" s="37"/>
      <c r="B406" s="37"/>
      <c r="C406" s="38"/>
      <c r="D406" s="38"/>
      <c r="E406" s="37"/>
    </row>
    <row r="407">
      <c r="A407" s="37"/>
      <c r="B407" s="37"/>
      <c r="C407" s="38"/>
      <c r="D407" s="38"/>
      <c r="E407" s="37"/>
    </row>
    <row r="408">
      <c r="A408" s="37"/>
      <c r="B408" s="37"/>
      <c r="C408" s="38"/>
      <c r="D408" s="38"/>
      <c r="E408" s="37"/>
    </row>
    <row r="409">
      <c r="A409" s="37"/>
      <c r="B409" s="37"/>
      <c r="C409" s="38"/>
      <c r="D409" s="38"/>
      <c r="E409" s="37"/>
    </row>
    <row r="410">
      <c r="A410" s="37"/>
      <c r="B410" s="37"/>
      <c r="C410" s="38"/>
      <c r="D410" s="38"/>
      <c r="E410" s="37"/>
    </row>
    <row r="411">
      <c r="A411" s="37"/>
      <c r="B411" s="37"/>
      <c r="C411" s="38"/>
      <c r="D411" s="38"/>
      <c r="E411" s="37"/>
    </row>
    <row r="412">
      <c r="A412" s="37"/>
      <c r="B412" s="37"/>
      <c r="C412" s="38"/>
      <c r="D412" s="38"/>
      <c r="E412" s="37"/>
    </row>
    <row r="413">
      <c r="A413" s="37"/>
      <c r="B413" s="37"/>
      <c r="C413" s="38"/>
      <c r="D413" s="38"/>
      <c r="E413" s="37"/>
    </row>
    <row r="414">
      <c r="A414" s="37"/>
      <c r="B414" s="37"/>
      <c r="C414" s="38"/>
      <c r="D414" s="38"/>
      <c r="E414" s="37"/>
    </row>
    <row r="415">
      <c r="A415" s="37"/>
      <c r="B415" s="37"/>
      <c r="C415" s="38"/>
      <c r="D415" s="38"/>
      <c r="E415" s="37"/>
    </row>
    <row r="416">
      <c r="A416" s="37"/>
      <c r="B416" s="37"/>
      <c r="C416" s="38"/>
      <c r="D416" s="38"/>
      <c r="E416" s="37"/>
    </row>
    <row r="417">
      <c r="A417" s="37"/>
      <c r="B417" s="37"/>
      <c r="C417" s="38"/>
      <c r="D417" s="38"/>
      <c r="E417" s="37"/>
    </row>
    <row r="418">
      <c r="A418" s="37"/>
      <c r="B418" s="37"/>
      <c r="C418" s="38"/>
      <c r="D418" s="38"/>
      <c r="E418" s="37"/>
    </row>
    <row r="419">
      <c r="A419" s="37"/>
      <c r="B419" s="37"/>
      <c r="C419" s="38"/>
      <c r="D419" s="38"/>
      <c r="E419" s="37"/>
    </row>
    <row r="420">
      <c r="A420" s="37"/>
      <c r="B420" s="37"/>
      <c r="C420" s="38"/>
      <c r="D420" s="38"/>
      <c r="E420" s="37"/>
    </row>
    <row r="421">
      <c r="A421" s="37"/>
      <c r="B421" s="37"/>
      <c r="C421" s="38"/>
      <c r="D421" s="38"/>
      <c r="E421" s="37"/>
    </row>
    <row r="422">
      <c r="A422" s="37"/>
      <c r="B422" s="37"/>
      <c r="C422" s="38"/>
      <c r="D422" s="38"/>
      <c r="E422" s="37"/>
    </row>
    <row r="423">
      <c r="A423" s="37"/>
      <c r="B423" s="37"/>
      <c r="C423" s="38"/>
      <c r="D423" s="38"/>
      <c r="E423" s="37"/>
    </row>
    <row r="424">
      <c r="A424" s="37"/>
      <c r="B424" s="37"/>
      <c r="C424" s="38"/>
      <c r="D424" s="38"/>
      <c r="E424" s="37"/>
    </row>
    <row r="425">
      <c r="A425" s="37"/>
      <c r="B425" s="37"/>
      <c r="C425" s="38"/>
      <c r="D425" s="38"/>
      <c r="E425" s="37"/>
    </row>
    <row r="426">
      <c r="A426" s="37"/>
      <c r="B426" s="37"/>
      <c r="C426" s="38"/>
      <c r="D426" s="38"/>
      <c r="E426" s="37"/>
    </row>
    <row r="427">
      <c r="A427" s="37"/>
      <c r="B427" s="37"/>
      <c r="C427" s="38"/>
      <c r="D427" s="38"/>
      <c r="E427" s="37"/>
    </row>
    <row r="428">
      <c r="A428" s="37"/>
      <c r="B428" s="37"/>
      <c r="C428" s="38"/>
      <c r="D428" s="38"/>
      <c r="E428" s="37"/>
    </row>
    <row r="429">
      <c r="A429" s="37"/>
      <c r="B429" s="37"/>
      <c r="C429" s="38"/>
      <c r="D429" s="38"/>
      <c r="E429" s="37"/>
    </row>
    <row r="430">
      <c r="A430" s="37"/>
      <c r="B430" s="37"/>
      <c r="C430" s="38"/>
      <c r="D430" s="38"/>
      <c r="E430" s="37"/>
    </row>
    <row r="431">
      <c r="A431" s="37"/>
      <c r="B431" s="37"/>
      <c r="C431" s="38"/>
      <c r="D431" s="38"/>
      <c r="E431" s="37"/>
    </row>
    <row r="432">
      <c r="A432" s="37"/>
      <c r="B432" s="37"/>
      <c r="C432" s="38"/>
      <c r="D432" s="38"/>
      <c r="E432" s="37"/>
    </row>
    <row r="433">
      <c r="A433" s="37"/>
      <c r="B433" s="37"/>
      <c r="C433" s="38"/>
      <c r="D433" s="38"/>
      <c r="E433" s="37"/>
    </row>
    <row r="434">
      <c r="A434" s="37"/>
      <c r="B434" s="37"/>
      <c r="C434" s="38"/>
      <c r="D434" s="38"/>
      <c r="E434" s="37"/>
    </row>
    <row r="435">
      <c r="A435" s="37"/>
      <c r="B435" s="37"/>
      <c r="C435" s="38"/>
      <c r="D435" s="38"/>
      <c r="E435" s="37"/>
    </row>
    <row r="436">
      <c r="A436" s="37"/>
      <c r="B436" s="37"/>
      <c r="C436" s="38"/>
      <c r="D436" s="38"/>
      <c r="E436" s="37"/>
    </row>
    <row r="437">
      <c r="A437" s="37"/>
      <c r="B437" s="37"/>
      <c r="C437" s="38"/>
      <c r="D437" s="38"/>
      <c r="E437" s="37"/>
    </row>
    <row r="438">
      <c r="A438" s="37"/>
      <c r="B438" s="37"/>
      <c r="C438" s="38"/>
      <c r="D438" s="38"/>
      <c r="E438" s="37"/>
    </row>
    <row r="439">
      <c r="A439" s="37"/>
      <c r="B439" s="37"/>
      <c r="C439" s="38"/>
      <c r="D439" s="38"/>
      <c r="E439" s="37"/>
    </row>
    <row r="440">
      <c r="A440" s="37"/>
      <c r="B440" s="37"/>
      <c r="C440" s="38"/>
      <c r="D440" s="38"/>
      <c r="E440" s="37"/>
    </row>
    <row r="441">
      <c r="A441" s="37"/>
      <c r="B441" s="37"/>
      <c r="C441" s="38"/>
      <c r="D441" s="38"/>
      <c r="E441" s="37"/>
    </row>
    <row r="442">
      <c r="A442" s="37"/>
      <c r="B442" s="37"/>
      <c r="C442" s="38"/>
      <c r="D442" s="38"/>
      <c r="E442" s="37"/>
    </row>
    <row r="443">
      <c r="A443" s="37"/>
      <c r="B443" s="37"/>
      <c r="C443" s="38"/>
      <c r="D443" s="38"/>
      <c r="E443" s="37"/>
    </row>
    <row r="444">
      <c r="A444" s="37"/>
      <c r="B444" s="37"/>
      <c r="C444" s="38"/>
      <c r="D444" s="38"/>
      <c r="E444" s="37"/>
    </row>
    <row r="445">
      <c r="A445" s="37"/>
      <c r="B445" s="37"/>
      <c r="C445" s="38"/>
      <c r="D445" s="38"/>
      <c r="E445" s="37"/>
    </row>
    <row r="446">
      <c r="A446" s="37"/>
      <c r="B446" s="37"/>
      <c r="C446" s="38"/>
      <c r="D446" s="38"/>
      <c r="E446" s="37"/>
    </row>
    <row r="447">
      <c r="A447" s="37"/>
      <c r="B447" s="37"/>
      <c r="C447" s="38"/>
      <c r="D447" s="38"/>
      <c r="E447" s="37"/>
    </row>
    <row r="448">
      <c r="A448" s="37"/>
      <c r="B448" s="37"/>
      <c r="C448" s="38"/>
      <c r="D448" s="38"/>
      <c r="E448" s="37"/>
    </row>
    <row r="449">
      <c r="A449" s="37"/>
      <c r="B449" s="37"/>
      <c r="C449" s="38"/>
      <c r="D449" s="38"/>
      <c r="E449" s="37"/>
    </row>
    <row r="450">
      <c r="A450" s="37"/>
      <c r="B450" s="37"/>
      <c r="C450" s="38"/>
      <c r="D450" s="38"/>
      <c r="E450" s="37"/>
    </row>
    <row r="451">
      <c r="A451" s="37"/>
      <c r="B451" s="37"/>
      <c r="C451" s="38"/>
      <c r="D451" s="38"/>
      <c r="E451" s="37"/>
    </row>
    <row r="452">
      <c r="A452" s="37"/>
      <c r="B452" s="37"/>
      <c r="C452" s="38"/>
      <c r="D452" s="38"/>
      <c r="E452" s="37"/>
    </row>
    <row r="453">
      <c r="A453" s="37"/>
      <c r="B453" s="37"/>
      <c r="C453" s="38"/>
      <c r="D453" s="38"/>
      <c r="E453" s="37"/>
    </row>
    <row r="454">
      <c r="A454" s="37"/>
      <c r="B454" s="37"/>
      <c r="C454" s="38"/>
      <c r="D454" s="38"/>
      <c r="E454" s="37"/>
    </row>
    <row r="455">
      <c r="A455" s="37"/>
      <c r="B455" s="37"/>
      <c r="C455" s="38"/>
      <c r="D455" s="38"/>
      <c r="E455" s="37"/>
    </row>
    <row r="456">
      <c r="A456" s="37"/>
      <c r="B456" s="37"/>
      <c r="C456" s="38"/>
      <c r="D456" s="38"/>
      <c r="E456" s="37"/>
    </row>
    <row r="457">
      <c r="A457" s="37"/>
      <c r="B457" s="37"/>
      <c r="C457" s="38"/>
      <c r="D457" s="38"/>
      <c r="E457" s="37"/>
    </row>
    <row r="458">
      <c r="A458" s="37"/>
      <c r="B458" s="37"/>
      <c r="C458" s="38"/>
      <c r="D458" s="38"/>
      <c r="E458" s="37"/>
    </row>
    <row r="459">
      <c r="A459" s="37"/>
      <c r="B459" s="37"/>
      <c r="C459" s="38"/>
      <c r="D459" s="38"/>
      <c r="E459" s="37"/>
    </row>
    <row r="460">
      <c r="A460" s="37"/>
      <c r="B460" s="37"/>
      <c r="C460" s="38"/>
      <c r="D460" s="38"/>
      <c r="E460" s="37"/>
    </row>
    <row r="461">
      <c r="A461" s="37"/>
      <c r="B461" s="37"/>
      <c r="C461" s="38"/>
      <c r="D461" s="38"/>
      <c r="E461" s="37"/>
    </row>
    <row r="462">
      <c r="A462" s="37"/>
      <c r="B462" s="37"/>
      <c r="C462" s="38"/>
      <c r="D462" s="38"/>
      <c r="E462" s="37"/>
    </row>
    <row r="463">
      <c r="A463" s="37"/>
      <c r="B463" s="37"/>
      <c r="C463" s="38"/>
      <c r="D463" s="38"/>
      <c r="E463" s="37"/>
    </row>
    <row r="464">
      <c r="A464" s="37"/>
      <c r="B464" s="37"/>
      <c r="C464" s="38"/>
      <c r="D464" s="38"/>
      <c r="E464" s="37"/>
    </row>
    <row r="465">
      <c r="A465" s="37"/>
      <c r="B465" s="37"/>
      <c r="C465" s="38"/>
      <c r="D465" s="38"/>
      <c r="E465" s="37"/>
    </row>
    <row r="466">
      <c r="A466" s="37"/>
      <c r="B466" s="37"/>
      <c r="C466" s="38"/>
      <c r="D466" s="38"/>
      <c r="E466" s="37"/>
    </row>
    <row r="467">
      <c r="A467" s="37"/>
      <c r="B467" s="37"/>
      <c r="C467" s="38"/>
      <c r="D467" s="38"/>
      <c r="E467" s="37"/>
    </row>
    <row r="468">
      <c r="A468" s="37"/>
      <c r="B468" s="37"/>
      <c r="C468" s="38"/>
      <c r="D468" s="38"/>
      <c r="E468" s="37"/>
    </row>
    <row r="469">
      <c r="A469" s="37"/>
      <c r="B469" s="37"/>
      <c r="C469" s="38"/>
      <c r="D469" s="38"/>
      <c r="E469" s="37"/>
    </row>
    <row r="470">
      <c r="A470" s="37"/>
      <c r="B470" s="37"/>
      <c r="C470" s="38"/>
      <c r="D470" s="38"/>
      <c r="E470" s="37"/>
    </row>
    <row r="471">
      <c r="A471" s="37"/>
      <c r="B471" s="37"/>
      <c r="C471" s="38"/>
      <c r="D471" s="38"/>
      <c r="E471" s="37"/>
    </row>
    <row r="472">
      <c r="A472" s="37"/>
      <c r="B472" s="37"/>
      <c r="C472" s="38"/>
      <c r="D472" s="38"/>
      <c r="E472" s="37"/>
    </row>
    <row r="473">
      <c r="A473" s="37"/>
      <c r="B473" s="37"/>
      <c r="C473" s="38"/>
      <c r="D473" s="38"/>
      <c r="E473" s="37"/>
    </row>
    <row r="474">
      <c r="A474" s="37"/>
      <c r="B474" s="37"/>
      <c r="C474" s="38"/>
      <c r="D474" s="38"/>
      <c r="E474" s="37"/>
    </row>
    <row r="475">
      <c r="A475" s="37"/>
      <c r="B475" s="37"/>
      <c r="C475" s="38"/>
      <c r="D475" s="38"/>
      <c r="E475" s="37"/>
    </row>
    <row r="476">
      <c r="A476" s="37"/>
      <c r="B476" s="37"/>
      <c r="C476" s="38"/>
      <c r="D476" s="38"/>
      <c r="E476" s="37"/>
    </row>
    <row r="477">
      <c r="A477" s="37"/>
      <c r="B477" s="37"/>
      <c r="C477" s="38"/>
      <c r="D477" s="38"/>
      <c r="E477" s="37"/>
    </row>
    <row r="478">
      <c r="A478" s="37"/>
      <c r="B478" s="37"/>
      <c r="C478" s="38"/>
      <c r="D478" s="38"/>
      <c r="E478" s="37"/>
    </row>
    <row r="479">
      <c r="A479" s="37"/>
      <c r="B479" s="37"/>
      <c r="C479" s="38"/>
      <c r="D479" s="38"/>
      <c r="E479" s="37"/>
    </row>
    <row r="480">
      <c r="A480" s="37"/>
      <c r="B480" s="37"/>
      <c r="C480" s="38"/>
      <c r="D480" s="38"/>
      <c r="E480" s="37"/>
    </row>
    <row r="481">
      <c r="A481" s="37"/>
      <c r="B481" s="37"/>
      <c r="C481" s="38"/>
      <c r="D481" s="38"/>
      <c r="E481" s="37"/>
    </row>
    <row r="482">
      <c r="A482" s="37"/>
      <c r="B482" s="37"/>
      <c r="C482" s="38"/>
      <c r="D482" s="38"/>
      <c r="E482" s="37"/>
    </row>
    <row r="483">
      <c r="A483" s="37"/>
      <c r="B483" s="37"/>
      <c r="C483" s="38"/>
      <c r="D483" s="38"/>
      <c r="E483" s="37"/>
    </row>
    <row r="484">
      <c r="A484" s="37"/>
      <c r="B484" s="37"/>
      <c r="C484" s="38"/>
      <c r="D484" s="38"/>
      <c r="E484" s="37"/>
    </row>
    <row r="485">
      <c r="A485" s="37"/>
      <c r="B485" s="37"/>
      <c r="C485" s="38"/>
      <c r="D485" s="38"/>
      <c r="E485" s="37"/>
    </row>
    <row r="486">
      <c r="A486" s="37"/>
      <c r="B486" s="37"/>
      <c r="C486" s="38"/>
      <c r="D486" s="38"/>
      <c r="E486" s="37"/>
    </row>
    <row r="487">
      <c r="A487" s="37"/>
      <c r="B487" s="37"/>
      <c r="C487" s="38"/>
      <c r="D487" s="38"/>
      <c r="E487" s="37"/>
    </row>
    <row r="488">
      <c r="A488" s="37"/>
      <c r="B488" s="37"/>
      <c r="C488" s="38"/>
      <c r="D488" s="38"/>
      <c r="E488" s="37"/>
    </row>
    <row r="489">
      <c r="A489" s="37"/>
      <c r="B489" s="37"/>
      <c r="C489" s="38"/>
      <c r="D489" s="38"/>
      <c r="E489" s="37"/>
    </row>
    <row r="490">
      <c r="A490" s="37"/>
      <c r="B490" s="37"/>
      <c r="C490" s="38"/>
      <c r="D490" s="38"/>
      <c r="E490" s="37"/>
    </row>
    <row r="491">
      <c r="A491" s="37"/>
      <c r="B491" s="37"/>
      <c r="C491" s="38"/>
      <c r="D491" s="38"/>
      <c r="E491" s="37"/>
    </row>
    <row r="492">
      <c r="A492" s="37"/>
      <c r="B492" s="37"/>
      <c r="C492" s="38"/>
      <c r="D492" s="38"/>
      <c r="E492" s="37"/>
    </row>
    <row r="493">
      <c r="A493" s="37"/>
      <c r="B493" s="37"/>
      <c r="C493" s="38"/>
      <c r="D493" s="38"/>
      <c r="E493" s="37"/>
    </row>
    <row r="494">
      <c r="A494" s="37"/>
      <c r="B494" s="37"/>
      <c r="C494" s="38"/>
      <c r="D494" s="38"/>
      <c r="E494" s="37"/>
    </row>
    <row r="495">
      <c r="A495" s="37"/>
      <c r="B495" s="37"/>
      <c r="C495" s="38"/>
      <c r="D495" s="38"/>
      <c r="E495" s="37"/>
    </row>
    <row r="496">
      <c r="A496" s="37"/>
      <c r="B496" s="37"/>
      <c r="C496" s="38"/>
      <c r="D496" s="38"/>
      <c r="E496" s="37"/>
    </row>
    <row r="497">
      <c r="A497" s="37"/>
      <c r="B497" s="37"/>
      <c r="C497" s="38"/>
      <c r="D497" s="38"/>
      <c r="E497" s="37"/>
    </row>
    <row r="498">
      <c r="A498" s="37"/>
      <c r="B498" s="37"/>
      <c r="C498" s="38"/>
      <c r="D498" s="38"/>
      <c r="E498" s="37"/>
    </row>
    <row r="499">
      <c r="A499" s="37"/>
      <c r="B499" s="37"/>
      <c r="C499" s="38"/>
      <c r="D499" s="38"/>
      <c r="E499" s="37"/>
    </row>
    <row r="500">
      <c r="A500" s="37"/>
      <c r="B500" s="37"/>
      <c r="C500" s="38"/>
      <c r="D500" s="38"/>
      <c r="E500" s="37"/>
    </row>
    <row r="501">
      <c r="A501" s="37"/>
      <c r="B501" s="37"/>
      <c r="C501" s="38"/>
      <c r="D501" s="38"/>
      <c r="E501" s="37"/>
    </row>
    <row r="502">
      <c r="A502" s="37"/>
      <c r="B502" s="37"/>
      <c r="C502" s="38"/>
      <c r="D502" s="38"/>
      <c r="E502" s="37"/>
    </row>
    <row r="503">
      <c r="A503" s="37"/>
      <c r="B503" s="37"/>
      <c r="C503" s="38"/>
      <c r="D503" s="38"/>
      <c r="E503" s="37"/>
    </row>
    <row r="504">
      <c r="A504" s="37"/>
      <c r="B504" s="37"/>
      <c r="C504" s="38"/>
      <c r="D504" s="38"/>
      <c r="E504" s="37"/>
    </row>
    <row r="505">
      <c r="A505" s="37"/>
      <c r="B505" s="37"/>
      <c r="C505" s="38"/>
      <c r="D505" s="38"/>
      <c r="E505" s="37"/>
    </row>
    <row r="506">
      <c r="A506" s="37"/>
      <c r="B506" s="37"/>
      <c r="C506" s="38"/>
      <c r="D506" s="38"/>
      <c r="E506" s="37"/>
    </row>
    <row r="507">
      <c r="A507" s="37"/>
      <c r="B507" s="37"/>
      <c r="C507" s="38"/>
      <c r="D507" s="38"/>
      <c r="E507" s="37"/>
    </row>
    <row r="508">
      <c r="A508" s="37"/>
      <c r="B508" s="37"/>
      <c r="C508" s="38"/>
      <c r="D508" s="38"/>
      <c r="E508" s="37"/>
    </row>
    <row r="509">
      <c r="A509" s="37"/>
      <c r="B509" s="37"/>
      <c r="C509" s="38"/>
      <c r="D509" s="38"/>
      <c r="E509" s="37"/>
    </row>
    <row r="510">
      <c r="A510" s="37"/>
      <c r="B510" s="37"/>
      <c r="C510" s="38"/>
      <c r="D510" s="38"/>
      <c r="E510" s="37"/>
    </row>
    <row r="511">
      <c r="A511" s="37"/>
      <c r="B511" s="37"/>
      <c r="C511" s="38"/>
      <c r="D511" s="38"/>
      <c r="E511" s="37"/>
    </row>
    <row r="512">
      <c r="A512" s="37"/>
      <c r="B512" s="37"/>
      <c r="C512" s="38"/>
      <c r="D512" s="38"/>
      <c r="E512" s="37"/>
    </row>
    <row r="513">
      <c r="A513" s="37"/>
      <c r="B513" s="37"/>
      <c r="C513" s="38"/>
      <c r="D513" s="38"/>
      <c r="E513" s="37"/>
    </row>
    <row r="514">
      <c r="A514" s="37"/>
      <c r="B514" s="37"/>
      <c r="C514" s="38"/>
      <c r="D514" s="38"/>
      <c r="E514" s="37"/>
    </row>
    <row r="515">
      <c r="A515" s="37"/>
      <c r="B515" s="37"/>
      <c r="C515" s="38"/>
      <c r="D515" s="38"/>
      <c r="E515" s="37"/>
    </row>
    <row r="516">
      <c r="A516" s="37"/>
      <c r="B516" s="37"/>
      <c r="C516" s="38"/>
      <c r="D516" s="38"/>
      <c r="E516" s="37"/>
    </row>
    <row r="517">
      <c r="A517" s="37"/>
      <c r="B517" s="37"/>
      <c r="C517" s="38"/>
      <c r="D517" s="38"/>
      <c r="E517" s="37"/>
    </row>
    <row r="518">
      <c r="A518" s="37"/>
      <c r="B518" s="37"/>
      <c r="C518" s="38"/>
      <c r="D518" s="38"/>
      <c r="E518" s="37"/>
    </row>
    <row r="519">
      <c r="A519" s="37"/>
      <c r="B519" s="37"/>
      <c r="C519" s="38"/>
      <c r="D519" s="38"/>
      <c r="E519" s="37"/>
    </row>
    <row r="520">
      <c r="A520" s="37"/>
      <c r="B520" s="37"/>
      <c r="C520" s="38"/>
      <c r="D520" s="38"/>
      <c r="E520" s="37"/>
    </row>
    <row r="521">
      <c r="A521" s="37"/>
      <c r="B521" s="37"/>
      <c r="C521" s="38"/>
      <c r="D521" s="38"/>
      <c r="E521" s="37"/>
    </row>
    <row r="522">
      <c r="A522" s="37"/>
      <c r="B522" s="37"/>
      <c r="C522" s="38"/>
      <c r="D522" s="38"/>
      <c r="E522" s="37"/>
    </row>
    <row r="523">
      <c r="A523" s="37"/>
      <c r="B523" s="37"/>
      <c r="C523" s="38"/>
      <c r="D523" s="38"/>
      <c r="E523" s="37"/>
    </row>
    <row r="524">
      <c r="A524" s="37"/>
      <c r="B524" s="37"/>
      <c r="C524" s="38"/>
      <c r="D524" s="38"/>
      <c r="E524" s="37"/>
    </row>
    <row r="525">
      <c r="A525" s="37"/>
      <c r="B525" s="37"/>
      <c r="C525" s="38"/>
      <c r="D525" s="38"/>
      <c r="E525" s="37"/>
    </row>
    <row r="526">
      <c r="A526" s="37"/>
      <c r="B526" s="37"/>
      <c r="C526" s="38"/>
      <c r="D526" s="38"/>
      <c r="E526" s="37"/>
    </row>
    <row r="527">
      <c r="A527" s="37"/>
      <c r="B527" s="37"/>
      <c r="C527" s="38"/>
      <c r="D527" s="38"/>
      <c r="E527" s="37"/>
    </row>
    <row r="528">
      <c r="A528" s="37"/>
      <c r="B528" s="37"/>
      <c r="C528" s="38"/>
      <c r="D528" s="38"/>
      <c r="E528" s="37"/>
    </row>
    <row r="529">
      <c r="A529" s="37"/>
      <c r="B529" s="37"/>
      <c r="C529" s="38"/>
      <c r="D529" s="38"/>
      <c r="E529" s="37"/>
    </row>
    <row r="530">
      <c r="A530" s="37"/>
      <c r="B530" s="37"/>
      <c r="C530" s="38"/>
      <c r="D530" s="38"/>
      <c r="E530" s="37"/>
    </row>
    <row r="531">
      <c r="A531" s="37"/>
      <c r="B531" s="37"/>
      <c r="C531" s="38"/>
      <c r="D531" s="38"/>
      <c r="E531" s="37"/>
    </row>
    <row r="532">
      <c r="A532" s="37"/>
      <c r="B532" s="37"/>
      <c r="C532" s="38"/>
      <c r="D532" s="38"/>
      <c r="E532" s="37"/>
    </row>
    <row r="533">
      <c r="A533" s="37"/>
      <c r="B533" s="37"/>
      <c r="C533" s="38"/>
      <c r="D533" s="38"/>
      <c r="E533" s="37"/>
    </row>
    <row r="534">
      <c r="A534" s="37"/>
      <c r="B534" s="37"/>
      <c r="C534" s="38"/>
      <c r="D534" s="38"/>
      <c r="E534" s="37"/>
    </row>
    <row r="535">
      <c r="A535" s="37"/>
      <c r="B535" s="37"/>
      <c r="C535" s="38"/>
      <c r="D535" s="38"/>
      <c r="E535" s="37"/>
    </row>
    <row r="536">
      <c r="A536" s="37"/>
      <c r="B536" s="37"/>
      <c r="C536" s="38"/>
      <c r="D536" s="38"/>
      <c r="E536" s="37"/>
    </row>
    <row r="537">
      <c r="A537" s="37"/>
      <c r="B537" s="37"/>
      <c r="C537" s="38"/>
      <c r="D537" s="38"/>
      <c r="E537" s="37"/>
    </row>
    <row r="538">
      <c r="A538" s="37"/>
      <c r="B538" s="37"/>
      <c r="C538" s="38"/>
      <c r="D538" s="38"/>
      <c r="E538" s="37"/>
    </row>
    <row r="539">
      <c r="A539" s="37"/>
      <c r="B539" s="37"/>
      <c r="C539" s="38"/>
      <c r="D539" s="38"/>
      <c r="E539" s="37"/>
    </row>
    <row r="540">
      <c r="A540" s="37"/>
      <c r="B540" s="37"/>
      <c r="C540" s="38"/>
      <c r="D540" s="38"/>
      <c r="E540" s="37"/>
    </row>
    <row r="541">
      <c r="A541" s="37"/>
      <c r="B541" s="37"/>
      <c r="C541" s="38"/>
      <c r="D541" s="38"/>
      <c r="E541" s="37"/>
    </row>
    <row r="542">
      <c r="A542" s="37"/>
      <c r="B542" s="37"/>
      <c r="C542" s="38"/>
      <c r="D542" s="38"/>
      <c r="E542" s="37"/>
    </row>
    <row r="543">
      <c r="A543" s="37"/>
      <c r="B543" s="37"/>
      <c r="C543" s="38"/>
      <c r="D543" s="38"/>
      <c r="E543" s="37"/>
    </row>
    <row r="544">
      <c r="A544" s="37"/>
      <c r="B544" s="37"/>
      <c r="C544" s="38"/>
      <c r="D544" s="38"/>
      <c r="E544" s="37"/>
    </row>
    <row r="545">
      <c r="A545" s="37"/>
      <c r="B545" s="37"/>
      <c r="C545" s="38"/>
      <c r="D545" s="38"/>
      <c r="E545" s="37"/>
    </row>
    <row r="546">
      <c r="A546" s="37"/>
      <c r="B546" s="37"/>
      <c r="C546" s="38"/>
      <c r="D546" s="38"/>
      <c r="E546" s="37"/>
    </row>
    <row r="547">
      <c r="A547" s="37"/>
      <c r="B547" s="37"/>
      <c r="C547" s="38"/>
      <c r="D547" s="38"/>
      <c r="E547" s="37"/>
    </row>
    <row r="548">
      <c r="A548" s="37"/>
      <c r="B548" s="37"/>
      <c r="C548" s="38"/>
      <c r="D548" s="38"/>
      <c r="E548" s="37"/>
    </row>
    <row r="549">
      <c r="A549" s="37"/>
      <c r="B549" s="37"/>
      <c r="C549" s="38"/>
      <c r="D549" s="38"/>
      <c r="E549" s="37"/>
    </row>
    <row r="550">
      <c r="A550" s="37"/>
      <c r="B550" s="37"/>
      <c r="C550" s="38"/>
      <c r="D550" s="38"/>
      <c r="E550" s="37"/>
    </row>
    <row r="551">
      <c r="A551" s="37"/>
      <c r="B551" s="37"/>
      <c r="C551" s="38"/>
      <c r="D551" s="38"/>
      <c r="E551" s="37"/>
    </row>
    <row r="552">
      <c r="A552" s="37"/>
      <c r="B552" s="37"/>
      <c r="C552" s="38"/>
      <c r="D552" s="38"/>
      <c r="E552" s="37"/>
    </row>
    <row r="553">
      <c r="A553" s="37"/>
      <c r="B553" s="37"/>
      <c r="C553" s="38"/>
      <c r="D553" s="38"/>
      <c r="E553" s="37"/>
    </row>
    <row r="554">
      <c r="A554" s="37"/>
      <c r="B554" s="37"/>
      <c r="C554" s="38"/>
      <c r="D554" s="38"/>
      <c r="E554" s="37"/>
    </row>
    <row r="555">
      <c r="A555" s="37"/>
      <c r="B555" s="37"/>
      <c r="C555" s="38"/>
      <c r="D555" s="38"/>
      <c r="E555" s="37"/>
    </row>
    <row r="556">
      <c r="A556" s="37"/>
      <c r="B556" s="37"/>
      <c r="C556" s="38"/>
      <c r="D556" s="38"/>
      <c r="E556" s="37"/>
    </row>
    <row r="557">
      <c r="A557" s="37"/>
      <c r="B557" s="37"/>
      <c r="C557" s="38"/>
      <c r="D557" s="38"/>
      <c r="E557" s="37"/>
    </row>
    <row r="558">
      <c r="A558" s="37"/>
      <c r="B558" s="37"/>
      <c r="C558" s="38"/>
      <c r="D558" s="38"/>
      <c r="E558" s="37"/>
    </row>
    <row r="559">
      <c r="A559" s="37"/>
      <c r="B559" s="37"/>
      <c r="C559" s="38"/>
      <c r="D559" s="38"/>
      <c r="E559" s="37"/>
    </row>
    <row r="560">
      <c r="A560" s="37"/>
      <c r="B560" s="37"/>
      <c r="C560" s="38"/>
      <c r="D560" s="38"/>
      <c r="E560" s="37"/>
    </row>
    <row r="561">
      <c r="A561" s="37"/>
      <c r="B561" s="37"/>
      <c r="C561" s="38"/>
      <c r="D561" s="38"/>
      <c r="E561" s="37"/>
    </row>
    <row r="562">
      <c r="A562" s="37"/>
      <c r="B562" s="37"/>
      <c r="C562" s="38"/>
      <c r="D562" s="38"/>
      <c r="E562" s="37"/>
    </row>
    <row r="563">
      <c r="A563" s="37"/>
      <c r="B563" s="37"/>
      <c r="C563" s="38"/>
      <c r="D563" s="38"/>
      <c r="E563" s="37"/>
    </row>
    <row r="564">
      <c r="A564" s="37"/>
      <c r="B564" s="37"/>
      <c r="C564" s="38"/>
      <c r="D564" s="38"/>
      <c r="E564" s="37"/>
    </row>
    <row r="565">
      <c r="A565" s="37"/>
      <c r="B565" s="37"/>
      <c r="C565" s="38"/>
      <c r="D565" s="38"/>
      <c r="E565" s="37"/>
    </row>
    <row r="566">
      <c r="A566" s="37"/>
      <c r="B566" s="37"/>
      <c r="C566" s="38"/>
      <c r="D566" s="38"/>
      <c r="E566" s="37"/>
    </row>
    <row r="567">
      <c r="A567" s="37"/>
      <c r="B567" s="37"/>
      <c r="C567" s="38"/>
      <c r="D567" s="38"/>
      <c r="E567" s="37"/>
    </row>
    <row r="568">
      <c r="A568" s="37"/>
      <c r="B568" s="37"/>
      <c r="C568" s="38"/>
      <c r="D568" s="38"/>
      <c r="E568" s="37"/>
    </row>
    <row r="569">
      <c r="A569" s="37"/>
      <c r="B569" s="37"/>
      <c r="C569" s="38"/>
      <c r="D569" s="38"/>
      <c r="E569" s="37"/>
    </row>
    <row r="570">
      <c r="A570" s="37"/>
      <c r="B570" s="37"/>
      <c r="C570" s="38"/>
      <c r="D570" s="38"/>
      <c r="E570" s="37"/>
    </row>
    <row r="571">
      <c r="A571" s="37"/>
      <c r="B571" s="37"/>
      <c r="C571" s="38"/>
      <c r="D571" s="38"/>
      <c r="E571" s="37"/>
    </row>
    <row r="572">
      <c r="A572" s="37"/>
      <c r="B572" s="37"/>
      <c r="C572" s="38"/>
      <c r="D572" s="38"/>
      <c r="E572" s="37"/>
    </row>
    <row r="573">
      <c r="A573" s="37"/>
      <c r="B573" s="37"/>
      <c r="C573" s="38"/>
      <c r="D573" s="38"/>
      <c r="E573" s="37"/>
    </row>
    <row r="574">
      <c r="A574" s="37"/>
      <c r="B574" s="37"/>
      <c r="C574" s="38"/>
      <c r="D574" s="38"/>
      <c r="E574" s="37"/>
    </row>
    <row r="575">
      <c r="A575" s="37"/>
      <c r="B575" s="37"/>
      <c r="C575" s="38"/>
      <c r="D575" s="38"/>
      <c r="E575" s="37"/>
    </row>
    <row r="576">
      <c r="A576" s="37"/>
      <c r="B576" s="37"/>
      <c r="C576" s="38"/>
      <c r="D576" s="38"/>
      <c r="E576" s="37"/>
    </row>
    <row r="577">
      <c r="A577" s="37"/>
      <c r="B577" s="37"/>
      <c r="C577" s="38"/>
      <c r="D577" s="38"/>
      <c r="E577" s="37"/>
    </row>
    <row r="578">
      <c r="A578" s="37"/>
      <c r="B578" s="37"/>
      <c r="C578" s="38"/>
      <c r="D578" s="38"/>
      <c r="E578" s="37"/>
    </row>
    <row r="579">
      <c r="A579" s="37"/>
      <c r="B579" s="37"/>
      <c r="C579" s="38"/>
      <c r="D579" s="38"/>
      <c r="E579" s="37"/>
    </row>
    <row r="580">
      <c r="A580" s="37"/>
      <c r="B580" s="37"/>
      <c r="C580" s="38"/>
      <c r="D580" s="38"/>
      <c r="E580" s="37"/>
    </row>
    <row r="581">
      <c r="A581" s="37"/>
      <c r="B581" s="37"/>
      <c r="C581" s="38"/>
      <c r="D581" s="38"/>
      <c r="E581" s="37"/>
    </row>
    <row r="582">
      <c r="A582" s="37"/>
      <c r="B582" s="37"/>
      <c r="C582" s="38"/>
      <c r="D582" s="38"/>
      <c r="E582" s="37"/>
    </row>
    <row r="583">
      <c r="A583" s="37"/>
      <c r="B583" s="37"/>
      <c r="C583" s="38"/>
      <c r="D583" s="38"/>
      <c r="E583" s="37"/>
    </row>
    <row r="584">
      <c r="A584" s="37"/>
      <c r="B584" s="37"/>
      <c r="C584" s="38"/>
      <c r="D584" s="38"/>
      <c r="E584" s="37"/>
    </row>
    <row r="585">
      <c r="A585" s="37"/>
      <c r="B585" s="37"/>
      <c r="C585" s="38"/>
      <c r="D585" s="38"/>
      <c r="E585" s="37"/>
    </row>
    <row r="586">
      <c r="A586" s="37"/>
      <c r="B586" s="37"/>
      <c r="C586" s="38"/>
      <c r="D586" s="38"/>
      <c r="E586" s="37"/>
    </row>
    <row r="587">
      <c r="A587" s="37"/>
      <c r="B587" s="37"/>
      <c r="C587" s="38"/>
      <c r="D587" s="38"/>
      <c r="E587" s="37"/>
    </row>
    <row r="588">
      <c r="A588" s="37"/>
      <c r="B588" s="37"/>
      <c r="C588" s="38"/>
      <c r="D588" s="38"/>
      <c r="E588" s="37"/>
    </row>
    <row r="589">
      <c r="A589" s="37"/>
      <c r="B589" s="37"/>
      <c r="C589" s="38"/>
      <c r="D589" s="38"/>
      <c r="E589" s="37"/>
    </row>
    <row r="590">
      <c r="A590" s="37"/>
      <c r="B590" s="37"/>
      <c r="C590" s="38"/>
      <c r="D590" s="38"/>
      <c r="E590" s="37"/>
    </row>
    <row r="591">
      <c r="A591" s="37"/>
      <c r="B591" s="37"/>
      <c r="C591" s="38"/>
      <c r="D591" s="38"/>
      <c r="E591" s="37"/>
    </row>
    <row r="592">
      <c r="A592" s="37"/>
      <c r="B592" s="37"/>
      <c r="C592" s="38"/>
      <c r="D592" s="38"/>
      <c r="E592" s="37"/>
    </row>
    <row r="593">
      <c r="A593" s="37"/>
      <c r="B593" s="37"/>
      <c r="C593" s="38"/>
      <c r="D593" s="38"/>
      <c r="E593" s="37"/>
    </row>
    <row r="594">
      <c r="A594" s="37"/>
      <c r="B594" s="37"/>
      <c r="C594" s="38"/>
      <c r="D594" s="38"/>
      <c r="E594" s="37"/>
    </row>
    <row r="595">
      <c r="A595" s="37"/>
      <c r="B595" s="37"/>
      <c r="C595" s="38"/>
      <c r="D595" s="38"/>
      <c r="E595" s="37"/>
    </row>
    <row r="596">
      <c r="A596" s="37"/>
      <c r="B596" s="37"/>
      <c r="C596" s="38"/>
      <c r="D596" s="38"/>
      <c r="E596" s="37"/>
    </row>
    <row r="597">
      <c r="A597" s="37"/>
      <c r="B597" s="37"/>
      <c r="C597" s="38"/>
      <c r="D597" s="38"/>
      <c r="E597" s="37"/>
    </row>
    <row r="598">
      <c r="A598" s="37"/>
      <c r="B598" s="37"/>
      <c r="C598" s="38"/>
      <c r="D598" s="38"/>
      <c r="E598" s="37"/>
    </row>
    <row r="599">
      <c r="A599" s="37"/>
      <c r="B599" s="37"/>
      <c r="C599" s="38"/>
      <c r="D599" s="38"/>
      <c r="E599" s="37"/>
    </row>
    <row r="600">
      <c r="A600" s="37"/>
      <c r="B600" s="37"/>
      <c r="C600" s="38"/>
      <c r="D600" s="38"/>
      <c r="E600" s="37"/>
    </row>
    <row r="601">
      <c r="A601" s="37"/>
      <c r="B601" s="37"/>
      <c r="C601" s="38"/>
      <c r="D601" s="38"/>
      <c r="E601" s="37"/>
    </row>
    <row r="602">
      <c r="A602" s="37"/>
      <c r="B602" s="37"/>
      <c r="C602" s="38"/>
      <c r="D602" s="38"/>
      <c r="E602" s="37"/>
    </row>
    <row r="603">
      <c r="A603" s="37"/>
      <c r="B603" s="37"/>
      <c r="C603" s="38"/>
      <c r="D603" s="38"/>
      <c r="E603" s="37"/>
    </row>
    <row r="604">
      <c r="A604" s="37"/>
      <c r="B604" s="37"/>
      <c r="C604" s="38"/>
      <c r="D604" s="38"/>
      <c r="E604" s="37"/>
    </row>
    <row r="605">
      <c r="A605" s="37"/>
      <c r="B605" s="37"/>
      <c r="C605" s="38"/>
      <c r="D605" s="38"/>
      <c r="E605" s="37"/>
    </row>
    <row r="606">
      <c r="A606" s="37"/>
      <c r="B606" s="37"/>
      <c r="C606" s="38"/>
      <c r="D606" s="38"/>
      <c r="E606" s="37"/>
    </row>
    <row r="607">
      <c r="A607" s="37"/>
      <c r="B607" s="37"/>
      <c r="C607" s="38"/>
      <c r="D607" s="38"/>
      <c r="E607" s="37"/>
    </row>
    <row r="608">
      <c r="A608" s="37"/>
      <c r="B608" s="37"/>
      <c r="C608" s="38"/>
      <c r="D608" s="38"/>
      <c r="E608" s="37"/>
    </row>
    <row r="609">
      <c r="A609" s="37"/>
      <c r="B609" s="37"/>
      <c r="C609" s="38"/>
      <c r="D609" s="38"/>
      <c r="E609" s="37"/>
    </row>
    <row r="610">
      <c r="A610" s="37"/>
      <c r="B610" s="37"/>
      <c r="C610" s="38"/>
      <c r="D610" s="38"/>
      <c r="E610" s="37"/>
    </row>
    <row r="611">
      <c r="A611" s="37"/>
      <c r="B611" s="37"/>
      <c r="C611" s="38"/>
      <c r="D611" s="38"/>
      <c r="E611" s="37"/>
    </row>
    <row r="612">
      <c r="A612" s="37"/>
      <c r="B612" s="37"/>
      <c r="C612" s="38"/>
      <c r="D612" s="38"/>
      <c r="E612" s="37"/>
    </row>
    <row r="613">
      <c r="A613" s="37"/>
      <c r="B613" s="37"/>
      <c r="C613" s="38"/>
      <c r="D613" s="38"/>
      <c r="E613" s="37"/>
    </row>
    <row r="614">
      <c r="A614" s="37"/>
      <c r="B614" s="37"/>
      <c r="C614" s="38"/>
      <c r="D614" s="38"/>
      <c r="E614" s="37"/>
    </row>
    <row r="615">
      <c r="A615" s="37"/>
      <c r="B615" s="37"/>
      <c r="C615" s="38"/>
      <c r="D615" s="38"/>
      <c r="E615" s="37"/>
    </row>
    <row r="616">
      <c r="A616" s="37"/>
      <c r="B616" s="37"/>
      <c r="C616" s="38"/>
      <c r="D616" s="38"/>
      <c r="E616" s="37"/>
    </row>
    <row r="617">
      <c r="A617" s="37"/>
      <c r="B617" s="37"/>
      <c r="C617" s="38"/>
      <c r="D617" s="38"/>
      <c r="E617" s="37"/>
    </row>
    <row r="618">
      <c r="A618" s="37"/>
      <c r="B618" s="37"/>
      <c r="C618" s="38"/>
      <c r="D618" s="38"/>
      <c r="E618" s="37"/>
    </row>
    <row r="619">
      <c r="A619" s="37"/>
      <c r="B619" s="37"/>
      <c r="C619" s="38"/>
      <c r="D619" s="38"/>
      <c r="E619" s="37"/>
    </row>
    <row r="620">
      <c r="A620" s="37"/>
      <c r="B620" s="37"/>
      <c r="C620" s="38"/>
      <c r="D620" s="38"/>
      <c r="E620" s="37"/>
    </row>
    <row r="621">
      <c r="A621" s="37"/>
      <c r="B621" s="37"/>
      <c r="C621" s="38"/>
      <c r="D621" s="38"/>
      <c r="E621" s="37"/>
    </row>
    <row r="622">
      <c r="A622" s="37"/>
      <c r="B622" s="37"/>
      <c r="C622" s="38"/>
      <c r="D622" s="38"/>
      <c r="E622" s="37"/>
    </row>
    <row r="623">
      <c r="A623" s="37"/>
      <c r="B623" s="37"/>
      <c r="C623" s="38"/>
      <c r="D623" s="38"/>
      <c r="E623" s="37"/>
    </row>
    <row r="624">
      <c r="A624" s="37"/>
      <c r="B624" s="37"/>
      <c r="C624" s="38"/>
      <c r="D624" s="38"/>
      <c r="E624" s="37"/>
    </row>
    <row r="625">
      <c r="A625" s="37"/>
      <c r="B625" s="37"/>
      <c r="C625" s="38"/>
      <c r="D625" s="38"/>
      <c r="E625" s="37"/>
    </row>
    <row r="626">
      <c r="A626" s="37"/>
      <c r="B626" s="37"/>
      <c r="C626" s="38"/>
      <c r="D626" s="38"/>
      <c r="E626" s="37"/>
    </row>
    <row r="627">
      <c r="A627" s="37"/>
      <c r="B627" s="37"/>
      <c r="C627" s="38"/>
      <c r="D627" s="38"/>
      <c r="E627" s="37"/>
    </row>
    <row r="628">
      <c r="A628" s="37"/>
      <c r="B628" s="37"/>
      <c r="C628" s="38"/>
      <c r="D628" s="38"/>
      <c r="E628" s="37"/>
    </row>
    <row r="629">
      <c r="A629" s="37"/>
      <c r="B629" s="37"/>
      <c r="C629" s="38"/>
      <c r="D629" s="38"/>
      <c r="E629" s="37"/>
    </row>
    <row r="630">
      <c r="A630" s="37"/>
      <c r="B630" s="37"/>
      <c r="C630" s="38"/>
      <c r="D630" s="38"/>
      <c r="E630" s="37"/>
    </row>
    <row r="631">
      <c r="A631" s="37"/>
      <c r="B631" s="37"/>
      <c r="C631" s="38"/>
      <c r="D631" s="38"/>
      <c r="E631" s="37"/>
    </row>
    <row r="632">
      <c r="A632" s="37"/>
      <c r="B632" s="37"/>
      <c r="C632" s="38"/>
      <c r="D632" s="38"/>
      <c r="E632" s="37"/>
    </row>
    <row r="633">
      <c r="A633" s="37"/>
      <c r="B633" s="37"/>
      <c r="C633" s="38"/>
      <c r="D633" s="38"/>
      <c r="E633" s="37"/>
    </row>
    <row r="634">
      <c r="A634" s="37"/>
      <c r="B634" s="37"/>
      <c r="C634" s="38"/>
      <c r="D634" s="38"/>
      <c r="E634" s="37"/>
    </row>
    <row r="635">
      <c r="A635" s="37"/>
      <c r="B635" s="37"/>
      <c r="C635" s="38"/>
      <c r="D635" s="38"/>
      <c r="E635" s="37"/>
    </row>
    <row r="636">
      <c r="A636" s="37"/>
      <c r="B636" s="37"/>
      <c r="C636" s="38"/>
      <c r="D636" s="38"/>
      <c r="E636" s="37"/>
    </row>
    <row r="637">
      <c r="A637" s="37"/>
      <c r="B637" s="37"/>
      <c r="C637" s="38"/>
      <c r="D637" s="38"/>
      <c r="E637" s="37"/>
    </row>
    <row r="638">
      <c r="A638" s="37"/>
      <c r="B638" s="37"/>
      <c r="C638" s="38"/>
      <c r="D638" s="38"/>
      <c r="E638" s="37"/>
    </row>
    <row r="639">
      <c r="A639" s="37"/>
      <c r="B639" s="37"/>
      <c r="C639" s="38"/>
      <c r="D639" s="38"/>
      <c r="E639" s="37"/>
    </row>
    <row r="640">
      <c r="A640" s="37"/>
      <c r="B640" s="37"/>
      <c r="C640" s="38"/>
      <c r="D640" s="38"/>
      <c r="E640" s="37"/>
    </row>
    <row r="641">
      <c r="A641" s="37"/>
      <c r="B641" s="37"/>
      <c r="C641" s="38"/>
      <c r="D641" s="38"/>
      <c r="E641" s="37"/>
    </row>
    <row r="642">
      <c r="A642" s="37"/>
      <c r="B642" s="37"/>
      <c r="C642" s="38"/>
      <c r="D642" s="38"/>
      <c r="E642" s="37"/>
    </row>
    <row r="643">
      <c r="A643" s="37"/>
      <c r="B643" s="37"/>
      <c r="C643" s="38"/>
      <c r="D643" s="38"/>
      <c r="E643" s="37"/>
    </row>
    <row r="644">
      <c r="A644" s="37"/>
      <c r="B644" s="37"/>
      <c r="C644" s="38"/>
      <c r="D644" s="38"/>
      <c r="E644" s="37"/>
    </row>
    <row r="645">
      <c r="A645" s="37"/>
      <c r="B645" s="37"/>
      <c r="C645" s="38"/>
      <c r="D645" s="38"/>
      <c r="E645" s="37"/>
    </row>
    <row r="646">
      <c r="A646" s="37"/>
      <c r="B646" s="37"/>
      <c r="C646" s="38"/>
      <c r="D646" s="38"/>
      <c r="E646" s="37"/>
    </row>
    <row r="647">
      <c r="A647" s="37"/>
      <c r="B647" s="37"/>
      <c r="C647" s="38"/>
      <c r="D647" s="38"/>
      <c r="E647" s="37"/>
    </row>
    <row r="648">
      <c r="A648" s="37"/>
      <c r="B648" s="37"/>
      <c r="C648" s="38"/>
      <c r="D648" s="38"/>
      <c r="E648" s="37"/>
    </row>
    <row r="649">
      <c r="A649" s="37"/>
      <c r="B649" s="37"/>
      <c r="C649" s="38"/>
      <c r="D649" s="38"/>
      <c r="E649" s="37"/>
    </row>
    <row r="650">
      <c r="A650" s="37"/>
      <c r="B650" s="37"/>
      <c r="C650" s="38"/>
      <c r="D650" s="38"/>
      <c r="E650" s="37"/>
    </row>
    <row r="651">
      <c r="A651" s="37"/>
      <c r="B651" s="37"/>
      <c r="C651" s="38"/>
      <c r="D651" s="38"/>
      <c r="E651" s="37"/>
    </row>
    <row r="652">
      <c r="A652" s="37"/>
      <c r="B652" s="37"/>
      <c r="C652" s="38"/>
      <c r="D652" s="38"/>
      <c r="E652" s="37"/>
    </row>
    <row r="653">
      <c r="A653" s="37"/>
      <c r="B653" s="37"/>
      <c r="C653" s="38"/>
      <c r="D653" s="38"/>
      <c r="E653" s="37"/>
    </row>
    <row r="654">
      <c r="A654" s="37"/>
      <c r="B654" s="37"/>
      <c r="C654" s="38"/>
      <c r="D654" s="38"/>
      <c r="E654" s="37"/>
    </row>
    <row r="655">
      <c r="A655" s="37"/>
      <c r="B655" s="37"/>
      <c r="C655" s="38"/>
      <c r="D655" s="38"/>
      <c r="E655" s="37"/>
    </row>
    <row r="656">
      <c r="A656" s="37"/>
      <c r="B656" s="37"/>
      <c r="C656" s="38"/>
      <c r="D656" s="38"/>
      <c r="E656" s="37"/>
    </row>
    <row r="657">
      <c r="A657" s="37"/>
      <c r="B657" s="37"/>
      <c r="C657" s="38"/>
      <c r="D657" s="38"/>
      <c r="E657" s="37"/>
    </row>
    <row r="658">
      <c r="A658" s="37"/>
      <c r="B658" s="37"/>
      <c r="C658" s="38"/>
      <c r="D658" s="38"/>
      <c r="E658" s="37"/>
    </row>
    <row r="659">
      <c r="A659" s="37"/>
      <c r="B659" s="37"/>
      <c r="C659" s="38"/>
      <c r="D659" s="38"/>
      <c r="E659" s="37"/>
    </row>
    <row r="660">
      <c r="A660" s="37"/>
      <c r="B660" s="37"/>
      <c r="C660" s="38"/>
      <c r="D660" s="38"/>
      <c r="E660" s="37"/>
    </row>
    <row r="661">
      <c r="A661" s="37"/>
      <c r="B661" s="37"/>
      <c r="C661" s="38"/>
      <c r="D661" s="38"/>
      <c r="E661" s="37"/>
    </row>
    <row r="662">
      <c r="A662" s="37"/>
      <c r="B662" s="37"/>
      <c r="C662" s="38"/>
      <c r="D662" s="38"/>
      <c r="E662" s="37"/>
    </row>
    <row r="663">
      <c r="A663" s="37"/>
      <c r="B663" s="37"/>
      <c r="C663" s="38"/>
      <c r="D663" s="38"/>
      <c r="E663" s="37"/>
    </row>
    <row r="664">
      <c r="A664" s="37"/>
      <c r="B664" s="37"/>
      <c r="C664" s="38"/>
      <c r="D664" s="38"/>
      <c r="E664" s="37"/>
    </row>
    <row r="665">
      <c r="A665" s="37"/>
      <c r="B665" s="37"/>
      <c r="C665" s="38"/>
      <c r="D665" s="38"/>
      <c r="E665" s="37"/>
    </row>
    <row r="666">
      <c r="A666" s="37"/>
      <c r="B666" s="37"/>
      <c r="C666" s="38"/>
      <c r="D666" s="38"/>
      <c r="E666" s="37"/>
    </row>
    <row r="667">
      <c r="A667" s="37"/>
      <c r="B667" s="37"/>
      <c r="C667" s="38"/>
      <c r="D667" s="38"/>
      <c r="E667" s="37"/>
    </row>
    <row r="668">
      <c r="A668" s="37"/>
      <c r="B668" s="37"/>
      <c r="C668" s="38"/>
      <c r="D668" s="38"/>
      <c r="E668" s="37"/>
    </row>
    <row r="669">
      <c r="A669" s="37"/>
      <c r="B669" s="37"/>
      <c r="C669" s="38"/>
      <c r="D669" s="38"/>
      <c r="E669" s="37"/>
    </row>
    <row r="670">
      <c r="A670" s="37"/>
      <c r="B670" s="37"/>
      <c r="C670" s="38"/>
      <c r="D670" s="38"/>
      <c r="E670" s="37"/>
    </row>
    <row r="671">
      <c r="A671" s="37"/>
      <c r="B671" s="37"/>
      <c r="C671" s="38"/>
      <c r="D671" s="38"/>
      <c r="E671" s="37"/>
    </row>
    <row r="672">
      <c r="A672" s="37"/>
      <c r="B672" s="37"/>
      <c r="C672" s="38"/>
      <c r="D672" s="38"/>
      <c r="E672" s="37"/>
    </row>
    <row r="673">
      <c r="A673" s="37"/>
      <c r="B673" s="37"/>
      <c r="C673" s="38"/>
      <c r="D673" s="38"/>
      <c r="E673" s="37"/>
    </row>
    <row r="674">
      <c r="A674" s="37"/>
      <c r="B674" s="37"/>
      <c r="C674" s="38"/>
      <c r="D674" s="38"/>
      <c r="E674" s="37"/>
    </row>
    <row r="675">
      <c r="A675" s="37"/>
      <c r="B675" s="37"/>
      <c r="C675" s="38"/>
      <c r="D675" s="38"/>
      <c r="E675" s="37"/>
    </row>
    <row r="676">
      <c r="A676" s="37"/>
      <c r="B676" s="37"/>
      <c r="C676" s="38"/>
      <c r="D676" s="38"/>
      <c r="E676" s="37"/>
    </row>
    <row r="677">
      <c r="A677" s="37"/>
      <c r="B677" s="37"/>
      <c r="C677" s="38"/>
      <c r="D677" s="38"/>
      <c r="E677" s="37"/>
    </row>
    <row r="678">
      <c r="A678" s="37"/>
      <c r="B678" s="37"/>
      <c r="C678" s="38"/>
      <c r="D678" s="38"/>
      <c r="E678" s="37"/>
    </row>
    <row r="679">
      <c r="A679" s="37"/>
      <c r="B679" s="37"/>
      <c r="C679" s="38"/>
      <c r="D679" s="38"/>
      <c r="E679" s="37"/>
    </row>
    <row r="680">
      <c r="A680" s="37"/>
      <c r="B680" s="37"/>
      <c r="C680" s="38"/>
      <c r="D680" s="38"/>
      <c r="E680" s="37"/>
    </row>
    <row r="681">
      <c r="A681" s="37"/>
      <c r="B681" s="37"/>
      <c r="C681" s="38"/>
      <c r="D681" s="38"/>
      <c r="E681" s="37"/>
    </row>
    <row r="682">
      <c r="A682" s="37"/>
      <c r="B682" s="37"/>
      <c r="C682" s="38"/>
      <c r="D682" s="38"/>
      <c r="E682" s="37"/>
    </row>
    <row r="683">
      <c r="A683" s="37"/>
      <c r="B683" s="37"/>
      <c r="C683" s="38"/>
      <c r="D683" s="38"/>
      <c r="E683" s="37"/>
    </row>
    <row r="684">
      <c r="A684" s="37"/>
      <c r="B684" s="37"/>
      <c r="C684" s="38"/>
      <c r="D684" s="38"/>
      <c r="E684" s="37"/>
    </row>
    <row r="685">
      <c r="A685" s="37"/>
      <c r="B685" s="37"/>
      <c r="C685" s="38"/>
      <c r="D685" s="38"/>
      <c r="E685" s="37"/>
    </row>
    <row r="686">
      <c r="A686" s="37"/>
      <c r="B686" s="37"/>
      <c r="C686" s="38"/>
      <c r="D686" s="38"/>
      <c r="E686" s="37"/>
    </row>
    <row r="687">
      <c r="A687" s="37"/>
      <c r="B687" s="37"/>
      <c r="C687" s="38"/>
      <c r="D687" s="38"/>
      <c r="E687" s="37"/>
    </row>
    <row r="688">
      <c r="A688" s="37"/>
      <c r="B688" s="37"/>
      <c r="C688" s="38"/>
      <c r="D688" s="38"/>
      <c r="E688" s="37"/>
    </row>
    <row r="689">
      <c r="A689" s="37"/>
      <c r="B689" s="37"/>
      <c r="C689" s="38"/>
      <c r="D689" s="38"/>
      <c r="E689" s="37"/>
    </row>
    <row r="690">
      <c r="A690" s="37"/>
      <c r="B690" s="37"/>
      <c r="C690" s="38"/>
      <c r="D690" s="38"/>
      <c r="E690" s="37"/>
    </row>
    <row r="691">
      <c r="A691" s="37"/>
      <c r="B691" s="37"/>
      <c r="C691" s="38"/>
      <c r="D691" s="38"/>
      <c r="E691" s="37"/>
    </row>
    <row r="692">
      <c r="A692" s="37"/>
      <c r="B692" s="37"/>
      <c r="C692" s="38"/>
      <c r="D692" s="38"/>
      <c r="E692" s="37"/>
    </row>
    <row r="693">
      <c r="A693" s="37"/>
      <c r="B693" s="37"/>
      <c r="C693" s="38"/>
      <c r="D693" s="38"/>
      <c r="E693" s="37"/>
    </row>
    <row r="694">
      <c r="A694" s="37"/>
      <c r="B694" s="37"/>
      <c r="C694" s="38"/>
      <c r="D694" s="38"/>
      <c r="E694" s="37"/>
    </row>
    <row r="695">
      <c r="A695" s="37"/>
      <c r="B695" s="37"/>
      <c r="C695" s="38"/>
      <c r="D695" s="38"/>
      <c r="E695" s="37"/>
    </row>
    <row r="696">
      <c r="A696" s="37"/>
      <c r="B696" s="37"/>
      <c r="C696" s="38"/>
      <c r="D696" s="38"/>
      <c r="E696" s="37"/>
    </row>
    <row r="697">
      <c r="A697" s="37"/>
      <c r="B697" s="37"/>
      <c r="C697" s="38"/>
      <c r="D697" s="38"/>
      <c r="E697" s="37"/>
    </row>
    <row r="698">
      <c r="A698" s="37"/>
      <c r="B698" s="37"/>
      <c r="C698" s="38"/>
      <c r="D698" s="38"/>
      <c r="E698" s="37"/>
    </row>
    <row r="699">
      <c r="A699" s="37"/>
      <c r="B699" s="37"/>
      <c r="C699" s="38"/>
      <c r="D699" s="38"/>
      <c r="E699" s="37"/>
    </row>
    <row r="700">
      <c r="A700" s="37"/>
      <c r="B700" s="37"/>
      <c r="C700" s="38"/>
      <c r="D700" s="38"/>
      <c r="E700" s="37"/>
    </row>
    <row r="701">
      <c r="A701" s="37"/>
      <c r="B701" s="37"/>
      <c r="C701" s="38"/>
      <c r="D701" s="38"/>
      <c r="E701" s="37"/>
    </row>
    <row r="702">
      <c r="A702" s="37"/>
      <c r="B702" s="37"/>
      <c r="C702" s="38"/>
      <c r="D702" s="38"/>
      <c r="E702" s="37"/>
    </row>
    <row r="703">
      <c r="A703" s="37"/>
      <c r="B703" s="37"/>
      <c r="C703" s="38"/>
      <c r="D703" s="38"/>
      <c r="E703" s="37"/>
    </row>
    <row r="704">
      <c r="A704" s="37"/>
      <c r="B704" s="37"/>
      <c r="C704" s="38"/>
      <c r="D704" s="38"/>
      <c r="E704" s="37"/>
    </row>
    <row r="705">
      <c r="A705" s="37"/>
      <c r="B705" s="37"/>
      <c r="C705" s="38"/>
      <c r="D705" s="38"/>
      <c r="E705" s="37"/>
    </row>
    <row r="706">
      <c r="A706" s="37"/>
      <c r="B706" s="37"/>
      <c r="C706" s="38"/>
      <c r="D706" s="38"/>
      <c r="E706" s="37"/>
    </row>
    <row r="707">
      <c r="A707" s="37"/>
      <c r="B707" s="37"/>
      <c r="C707" s="38"/>
      <c r="D707" s="38"/>
      <c r="E707" s="37"/>
    </row>
    <row r="708">
      <c r="A708" s="37"/>
      <c r="B708" s="37"/>
      <c r="C708" s="38"/>
      <c r="D708" s="38"/>
      <c r="E708" s="37"/>
    </row>
    <row r="709">
      <c r="A709" s="37"/>
      <c r="B709" s="37"/>
      <c r="C709" s="38"/>
      <c r="D709" s="38"/>
      <c r="E709" s="37"/>
    </row>
    <row r="710">
      <c r="A710" s="37"/>
      <c r="B710" s="37"/>
      <c r="C710" s="38"/>
      <c r="D710" s="38"/>
      <c r="E710" s="37"/>
    </row>
    <row r="711">
      <c r="A711" s="37"/>
      <c r="B711" s="37"/>
      <c r="C711" s="38"/>
      <c r="D711" s="38"/>
      <c r="E711" s="37"/>
    </row>
    <row r="712">
      <c r="A712" s="37"/>
      <c r="B712" s="37"/>
      <c r="C712" s="38"/>
      <c r="D712" s="38"/>
      <c r="E712" s="37"/>
    </row>
    <row r="713">
      <c r="A713" s="37"/>
      <c r="B713" s="37"/>
      <c r="C713" s="38"/>
      <c r="D713" s="38"/>
      <c r="E713" s="37"/>
    </row>
    <row r="714">
      <c r="A714" s="37"/>
      <c r="B714" s="37"/>
      <c r="C714" s="38"/>
      <c r="D714" s="38"/>
      <c r="E714" s="37"/>
    </row>
    <row r="715">
      <c r="A715" s="37"/>
      <c r="B715" s="37"/>
      <c r="C715" s="38"/>
      <c r="D715" s="38"/>
      <c r="E715" s="37"/>
    </row>
    <row r="716">
      <c r="A716" s="37"/>
      <c r="B716" s="37"/>
      <c r="C716" s="38"/>
      <c r="D716" s="38"/>
      <c r="E716" s="37"/>
    </row>
    <row r="717">
      <c r="A717" s="37"/>
      <c r="B717" s="37"/>
      <c r="C717" s="38"/>
      <c r="D717" s="38"/>
      <c r="E717" s="37"/>
    </row>
    <row r="718">
      <c r="A718" s="37"/>
      <c r="B718" s="37"/>
      <c r="C718" s="38"/>
      <c r="D718" s="38"/>
      <c r="E718" s="37"/>
    </row>
    <row r="719">
      <c r="A719" s="37"/>
      <c r="B719" s="37"/>
      <c r="C719" s="38"/>
      <c r="D719" s="38"/>
      <c r="E719" s="37"/>
    </row>
    <row r="720">
      <c r="A720" s="37"/>
      <c r="B720" s="37"/>
      <c r="C720" s="38"/>
      <c r="D720" s="38"/>
      <c r="E720" s="37"/>
    </row>
    <row r="721">
      <c r="A721" s="37"/>
      <c r="B721" s="37"/>
      <c r="C721" s="38"/>
      <c r="D721" s="38"/>
      <c r="E721" s="37"/>
    </row>
    <row r="722">
      <c r="A722" s="37"/>
      <c r="B722" s="37"/>
      <c r="C722" s="38"/>
      <c r="D722" s="38"/>
      <c r="E722" s="37"/>
    </row>
    <row r="723">
      <c r="A723" s="37"/>
      <c r="B723" s="37"/>
      <c r="C723" s="38"/>
      <c r="D723" s="38"/>
      <c r="E723" s="37"/>
    </row>
    <row r="724">
      <c r="A724" s="37"/>
      <c r="B724" s="37"/>
      <c r="C724" s="38"/>
      <c r="D724" s="38"/>
      <c r="E724" s="37"/>
    </row>
    <row r="725">
      <c r="A725" s="37"/>
      <c r="B725" s="37"/>
      <c r="C725" s="38"/>
      <c r="D725" s="38"/>
      <c r="E725" s="37"/>
    </row>
    <row r="726">
      <c r="A726" s="37"/>
      <c r="B726" s="37"/>
      <c r="C726" s="38"/>
      <c r="D726" s="38"/>
      <c r="E726" s="37"/>
    </row>
    <row r="727">
      <c r="A727" s="37"/>
      <c r="B727" s="37"/>
      <c r="C727" s="38"/>
      <c r="D727" s="38"/>
      <c r="E727" s="37"/>
    </row>
    <row r="728">
      <c r="A728" s="37"/>
      <c r="B728" s="37"/>
      <c r="C728" s="38"/>
      <c r="D728" s="38"/>
      <c r="E728" s="37"/>
    </row>
    <row r="729">
      <c r="A729" s="37"/>
      <c r="B729" s="37"/>
      <c r="C729" s="38"/>
      <c r="D729" s="38"/>
      <c r="E729" s="37"/>
    </row>
    <row r="730">
      <c r="A730" s="37"/>
      <c r="B730" s="37"/>
      <c r="C730" s="38"/>
      <c r="D730" s="38"/>
      <c r="E730" s="37"/>
    </row>
    <row r="731">
      <c r="A731" s="37"/>
      <c r="B731" s="37"/>
      <c r="C731" s="38"/>
      <c r="D731" s="38"/>
      <c r="E731" s="37"/>
    </row>
    <row r="732">
      <c r="A732" s="37"/>
      <c r="B732" s="37"/>
      <c r="C732" s="38"/>
      <c r="D732" s="38"/>
      <c r="E732" s="37"/>
    </row>
    <row r="733">
      <c r="A733" s="37"/>
      <c r="B733" s="37"/>
      <c r="C733" s="38"/>
      <c r="D733" s="38"/>
      <c r="E733" s="37"/>
    </row>
    <row r="734">
      <c r="A734" s="37"/>
      <c r="B734" s="37"/>
      <c r="C734" s="38"/>
      <c r="D734" s="38"/>
      <c r="E734" s="37"/>
    </row>
    <row r="735">
      <c r="A735" s="37"/>
      <c r="B735" s="37"/>
      <c r="C735" s="38"/>
      <c r="D735" s="38"/>
      <c r="E735" s="37"/>
    </row>
    <row r="736">
      <c r="A736" s="37"/>
      <c r="B736" s="37"/>
      <c r="C736" s="38"/>
      <c r="D736" s="38"/>
      <c r="E736" s="37"/>
    </row>
    <row r="737">
      <c r="A737" s="37"/>
      <c r="B737" s="37"/>
      <c r="C737" s="38"/>
      <c r="D737" s="38"/>
      <c r="E737" s="37"/>
    </row>
    <row r="738">
      <c r="A738" s="37"/>
      <c r="B738" s="37"/>
      <c r="C738" s="38"/>
      <c r="D738" s="38"/>
      <c r="E738" s="37"/>
    </row>
    <row r="739">
      <c r="A739" s="37"/>
      <c r="B739" s="37"/>
      <c r="C739" s="38"/>
      <c r="D739" s="38"/>
      <c r="E739" s="37"/>
    </row>
    <row r="740">
      <c r="A740" s="37"/>
      <c r="B740" s="37"/>
      <c r="C740" s="38"/>
      <c r="D740" s="38"/>
      <c r="E740" s="37"/>
    </row>
    <row r="741">
      <c r="A741" s="37"/>
      <c r="B741" s="37"/>
      <c r="C741" s="38"/>
      <c r="D741" s="38"/>
      <c r="E741" s="37"/>
    </row>
    <row r="742">
      <c r="A742" s="37"/>
      <c r="B742" s="37"/>
      <c r="C742" s="38"/>
      <c r="D742" s="38"/>
      <c r="E742" s="37"/>
    </row>
    <row r="743">
      <c r="A743" s="37"/>
      <c r="B743" s="37"/>
      <c r="C743" s="38"/>
      <c r="D743" s="38"/>
      <c r="E743" s="37"/>
    </row>
    <row r="744">
      <c r="A744" s="37"/>
      <c r="B744" s="37"/>
      <c r="C744" s="38"/>
      <c r="D744" s="38"/>
      <c r="E744" s="37"/>
    </row>
    <row r="745">
      <c r="A745" s="37"/>
      <c r="B745" s="37"/>
      <c r="C745" s="38"/>
      <c r="D745" s="38"/>
      <c r="E745" s="37"/>
    </row>
    <row r="746">
      <c r="A746" s="37"/>
      <c r="B746" s="37"/>
      <c r="C746" s="38"/>
      <c r="D746" s="38"/>
      <c r="E746" s="37"/>
    </row>
    <row r="747">
      <c r="A747" s="37"/>
      <c r="B747" s="37"/>
      <c r="C747" s="38"/>
      <c r="D747" s="38"/>
      <c r="E747" s="37"/>
    </row>
    <row r="748">
      <c r="A748" s="37"/>
      <c r="B748" s="37"/>
      <c r="C748" s="38"/>
      <c r="D748" s="38"/>
      <c r="E748" s="37"/>
    </row>
    <row r="749">
      <c r="A749" s="37"/>
      <c r="B749" s="37"/>
      <c r="C749" s="38"/>
      <c r="D749" s="38"/>
      <c r="E749" s="37"/>
    </row>
    <row r="750">
      <c r="A750" s="37"/>
      <c r="B750" s="37"/>
      <c r="C750" s="38"/>
      <c r="D750" s="38"/>
      <c r="E750" s="37"/>
    </row>
    <row r="751">
      <c r="A751" s="37"/>
      <c r="B751" s="37"/>
      <c r="C751" s="38"/>
      <c r="D751" s="38"/>
      <c r="E751" s="37"/>
    </row>
    <row r="752">
      <c r="A752" s="37"/>
      <c r="B752" s="37"/>
      <c r="C752" s="38"/>
      <c r="D752" s="38"/>
      <c r="E752" s="37"/>
    </row>
    <row r="753">
      <c r="A753" s="37"/>
      <c r="B753" s="37"/>
      <c r="C753" s="38"/>
      <c r="D753" s="38"/>
      <c r="E753" s="37"/>
    </row>
    <row r="754">
      <c r="A754" s="37"/>
      <c r="B754" s="37"/>
      <c r="C754" s="38"/>
      <c r="D754" s="38"/>
      <c r="E754" s="37"/>
    </row>
    <row r="755">
      <c r="A755" s="37"/>
      <c r="B755" s="37"/>
      <c r="C755" s="38"/>
      <c r="D755" s="38"/>
      <c r="E755" s="37"/>
    </row>
    <row r="756">
      <c r="A756" s="37"/>
      <c r="B756" s="37"/>
      <c r="C756" s="38"/>
      <c r="D756" s="38"/>
      <c r="E756" s="37"/>
    </row>
    <row r="757">
      <c r="A757" s="37"/>
      <c r="B757" s="37"/>
      <c r="C757" s="38"/>
      <c r="D757" s="38"/>
      <c r="E757" s="37"/>
    </row>
    <row r="758">
      <c r="A758" s="37"/>
      <c r="B758" s="37"/>
      <c r="C758" s="38"/>
      <c r="D758" s="38"/>
      <c r="E758" s="37"/>
    </row>
    <row r="759">
      <c r="A759" s="37"/>
      <c r="B759" s="37"/>
      <c r="C759" s="38"/>
      <c r="D759" s="38"/>
      <c r="E759" s="37"/>
    </row>
    <row r="760">
      <c r="A760" s="37"/>
      <c r="B760" s="37"/>
      <c r="C760" s="38"/>
      <c r="D760" s="38"/>
      <c r="E760" s="37"/>
    </row>
    <row r="761">
      <c r="A761" s="37"/>
      <c r="B761" s="37"/>
      <c r="C761" s="38"/>
      <c r="D761" s="38"/>
      <c r="E761" s="37"/>
    </row>
    <row r="762">
      <c r="A762" s="37"/>
      <c r="B762" s="37"/>
      <c r="C762" s="38"/>
      <c r="D762" s="38"/>
      <c r="E762" s="37"/>
    </row>
    <row r="763">
      <c r="A763" s="37"/>
      <c r="B763" s="37"/>
      <c r="C763" s="38"/>
      <c r="D763" s="38"/>
      <c r="E763" s="37"/>
    </row>
    <row r="764">
      <c r="A764" s="37"/>
      <c r="B764" s="37"/>
      <c r="C764" s="38"/>
      <c r="D764" s="38"/>
      <c r="E764" s="37"/>
    </row>
    <row r="765">
      <c r="A765" s="37"/>
      <c r="B765" s="37"/>
      <c r="C765" s="38"/>
      <c r="D765" s="38"/>
      <c r="E765" s="37"/>
    </row>
    <row r="766">
      <c r="A766" s="37"/>
      <c r="B766" s="37"/>
      <c r="C766" s="38"/>
      <c r="D766" s="38"/>
      <c r="E766" s="37"/>
    </row>
    <row r="767">
      <c r="A767" s="37"/>
      <c r="B767" s="37"/>
      <c r="C767" s="38"/>
      <c r="D767" s="38"/>
      <c r="E767" s="37"/>
    </row>
    <row r="768">
      <c r="A768" s="37"/>
      <c r="B768" s="37"/>
      <c r="C768" s="38"/>
      <c r="D768" s="38"/>
      <c r="E768" s="37"/>
    </row>
    <row r="769">
      <c r="A769" s="37"/>
      <c r="B769" s="37"/>
      <c r="C769" s="38"/>
      <c r="D769" s="38"/>
      <c r="E769" s="37"/>
    </row>
    <row r="770">
      <c r="A770" s="37"/>
      <c r="B770" s="37"/>
      <c r="C770" s="38"/>
      <c r="D770" s="38"/>
      <c r="E770" s="37"/>
    </row>
    <row r="771">
      <c r="A771" s="37"/>
      <c r="B771" s="37"/>
      <c r="C771" s="38"/>
      <c r="D771" s="38"/>
      <c r="E771" s="37"/>
    </row>
    <row r="772">
      <c r="A772" s="37"/>
      <c r="B772" s="37"/>
      <c r="C772" s="38"/>
      <c r="D772" s="38"/>
      <c r="E772" s="37"/>
    </row>
    <row r="773">
      <c r="A773" s="37"/>
      <c r="B773" s="37"/>
      <c r="C773" s="38"/>
      <c r="D773" s="38"/>
      <c r="E773" s="37"/>
    </row>
    <row r="774">
      <c r="A774" s="37"/>
      <c r="B774" s="37"/>
      <c r="C774" s="38"/>
      <c r="D774" s="38"/>
      <c r="E774" s="37"/>
    </row>
    <row r="775">
      <c r="A775" s="37"/>
      <c r="B775" s="37"/>
      <c r="C775" s="38"/>
      <c r="D775" s="38"/>
      <c r="E775" s="37"/>
    </row>
    <row r="776">
      <c r="A776" s="37"/>
      <c r="B776" s="37"/>
      <c r="C776" s="38"/>
      <c r="D776" s="38"/>
      <c r="E776" s="37"/>
    </row>
    <row r="777">
      <c r="A777" s="37"/>
      <c r="B777" s="37"/>
      <c r="C777" s="38"/>
      <c r="D777" s="38"/>
      <c r="E777" s="37"/>
    </row>
    <row r="778">
      <c r="A778" s="37"/>
      <c r="B778" s="37"/>
      <c r="C778" s="38"/>
      <c r="D778" s="38"/>
      <c r="E778" s="37"/>
    </row>
    <row r="779">
      <c r="A779" s="37"/>
      <c r="B779" s="37"/>
      <c r="C779" s="38"/>
      <c r="D779" s="38"/>
      <c r="E779" s="37"/>
    </row>
    <row r="780">
      <c r="A780" s="37"/>
      <c r="B780" s="37"/>
      <c r="C780" s="38"/>
      <c r="D780" s="38"/>
      <c r="E780" s="37"/>
    </row>
    <row r="781">
      <c r="A781" s="37"/>
      <c r="B781" s="37"/>
      <c r="C781" s="38"/>
      <c r="D781" s="38"/>
      <c r="E781" s="37"/>
    </row>
    <row r="782">
      <c r="A782" s="37"/>
      <c r="B782" s="37"/>
      <c r="C782" s="38"/>
      <c r="D782" s="38"/>
      <c r="E782" s="37"/>
    </row>
    <row r="783">
      <c r="A783" s="37"/>
      <c r="B783" s="37"/>
      <c r="C783" s="38"/>
      <c r="D783" s="38"/>
      <c r="E783" s="37"/>
    </row>
    <row r="784">
      <c r="A784" s="37"/>
      <c r="B784" s="37"/>
      <c r="C784" s="38"/>
      <c r="D784" s="38"/>
      <c r="E784" s="37"/>
    </row>
    <row r="785">
      <c r="A785" s="37"/>
      <c r="B785" s="37"/>
      <c r="C785" s="38"/>
      <c r="D785" s="38"/>
      <c r="E785" s="37"/>
    </row>
    <row r="786">
      <c r="A786" s="37"/>
      <c r="B786" s="37"/>
      <c r="C786" s="38"/>
      <c r="D786" s="38"/>
      <c r="E786" s="37"/>
    </row>
    <row r="787">
      <c r="A787" s="37"/>
      <c r="B787" s="37"/>
      <c r="C787" s="38"/>
      <c r="D787" s="38"/>
      <c r="E787" s="37"/>
    </row>
    <row r="788">
      <c r="A788" s="37"/>
      <c r="B788" s="37"/>
      <c r="C788" s="38"/>
      <c r="D788" s="38"/>
      <c r="E788" s="37"/>
    </row>
    <row r="789">
      <c r="A789" s="37"/>
      <c r="B789" s="37"/>
      <c r="C789" s="38"/>
      <c r="D789" s="38"/>
      <c r="E789" s="37"/>
    </row>
    <row r="790">
      <c r="A790" s="37"/>
      <c r="B790" s="37"/>
      <c r="C790" s="38"/>
      <c r="D790" s="38"/>
      <c r="E790" s="37"/>
    </row>
    <row r="791">
      <c r="A791" s="37"/>
      <c r="B791" s="37"/>
      <c r="C791" s="38"/>
      <c r="D791" s="38"/>
      <c r="E791" s="37"/>
    </row>
    <row r="792">
      <c r="A792" s="37"/>
      <c r="B792" s="37"/>
      <c r="C792" s="38"/>
      <c r="D792" s="38"/>
      <c r="E792" s="37"/>
    </row>
    <row r="793">
      <c r="A793" s="37"/>
      <c r="B793" s="37"/>
      <c r="C793" s="38"/>
      <c r="D793" s="38"/>
      <c r="E793" s="37"/>
    </row>
    <row r="794">
      <c r="A794" s="37"/>
      <c r="B794" s="37"/>
      <c r="C794" s="38"/>
      <c r="D794" s="38"/>
      <c r="E794" s="37"/>
    </row>
    <row r="795">
      <c r="A795" s="37"/>
      <c r="B795" s="37"/>
      <c r="C795" s="38"/>
      <c r="D795" s="38"/>
      <c r="E795" s="37"/>
    </row>
    <row r="796">
      <c r="A796" s="37"/>
      <c r="B796" s="37"/>
      <c r="C796" s="38"/>
      <c r="D796" s="38"/>
      <c r="E796" s="37"/>
    </row>
    <row r="797">
      <c r="A797" s="37"/>
      <c r="B797" s="37"/>
      <c r="C797" s="38"/>
      <c r="D797" s="38"/>
      <c r="E797" s="37"/>
    </row>
    <row r="798">
      <c r="A798" s="37"/>
      <c r="B798" s="37"/>
      <c r="C798" s="38"/>
      <c r="D798" s="38"/>
      <c r="E798" s="37"/>
    </row>
    <row r="799">
      <c r="A799" s="37"/>
      <c r="B799" s="37"/>
      <c r="C799" s="38"/>
      <c r="D799" s="38"/>
      <c r="E799" s="37"/>
    </row>
    <row r="800">
      <c r="A800" s="37"/>
      <c r="B800" s="37"/>
      <c r="C800" s="38"/>
      <c r="D800" s="38"/>
      <c r="E800" s="37"/>
    </row>
    <row r="801">
      <c r="A801" s="37"/>
      <c r="B801" s="37"/>
      <c r="C801" s="38"/>
      <c r="D801" s="38"/>
      <c r="E801" s="37"/>
    </row>
    <row r="802">
      <c r="A802" s="37"/>
      <c r="B802" s="37"/>
      <c r="C802" s="38"/>
      <c r="D802" s="38"/>
      <c r="E802" s="37"/>
    </row>
    <row r="803">
      <c r="A803" s="37"/>
      <c r="B803" s="37"/>
      <c r="C803" s="38"/>
      <c r="D803" s="38"/>
      <c r="E803" s="37"/>
    </row>
    <row r="804">
      <c r="A804" s="37"/>
      <c r="B804" s="37"/>
      <c r="C804" s="38"/>
      <c r="D804" s="38"/>
      <c r="E804" s="37"/>
    </row>
    <row r="805">
      <c r="A805" s="37"/>
      <c r="B805" s="37"/>
      <c r="C805" s="38"/>
      <c r="D805" s="38"/>
      <c r="E805" s="37"/>
    </row>
    <row r="806">
      <c r="A806" s="37"/>
      <c r="B806" s="37"/>
      <c r="C806" s="38"/>
      <c r="D806" s="38"/>
      <c r="E806" s="37"/>
    </row>
    <row r="807">
      <c r="A807" s="37"/>
      <c r="B807" s="37"/>
      <c r="C807" s="38"/>
      <c r="D807" s="38"/>
      <c r="E807" s="37"/>
    </row>
    <row r="808">
      <c r="A808" s="37"/>
      <c r="B808" s="37"/>
      <c r="C808" s="38"/>
      <c r="D808" s="38"/>
      <c r="E808" s="37"/>
    </row>
    <row r="809">
      <c r="A809" s="37"/>
      <c r="B809" s="37"/>
      <c r="C809" s="38"/>
      <c r="D809" s="38"/>
      <c r="E809" s="37"/>
    </row>
    <row r="810">
      <c r="A810" s="37"/>
      <c r="B810" s="37"/>
      <c r="C810" s="38"/>
      <c r="D810" s="38"/>
      <c r="E810" s="37"/>
    </row>
    <row r="811">
      <c r="A811" s="37"/>
      <c r="B811" s="37"/>
      <c r="C811" s="38"/>
      <c r="D811" s="38"/>
      <c r="E811" s="37"/>
    </row>
    <row r="812">
      <c r="A812" s="37"/>
      <c r="B812" s="37"/>
      <c r="C812" s="38"/>
      <c r="D812" s="38"/>
      <c r="E812" s="37"/>
    </row>
    <row r="813">
      <c r="A813" s="37"/>
      <c r="B813" s="37"/>
      <c r="C813" s="38"/>
      <c r="D813" s="38"/>
      <c r="E813" s="37"/>
    </row>
    <row r="814">
      <c r="A814" s="37"/>
      <c r="B814" s="37"/>
      <c r="C814" s="38"/>
      <c r="D814" s="38"/>
      <c r="E814" s="37"/>
    </row>
    <row r="815">
      <c r="A815" s="37"/>
      <c r="B815" s="37"/>
      <c r="C815" s="38"/>
      <c r="D815" s="38"/>
      <c r="E815" s="37"/>
    </row>
    <row r="816">
      <c r="A816" s="37"/>
      <c r="B816" s="37"/>
      <c r="C816" s="38"/>
      <c r="D816" s="38"/>
      <c r="E816" s="37"/>
    </row>
    <row r="817">
      <c r="A817" s="37"/>
      <c r="B817" s="37"/>
      <c r="C817" s="38"/>
      <c r="D817" s="38"/>
      <c r="E817" s="37"/>
    </row>
    <row r="818">
      <c r="A818" s="37"/>
      <c r="B818" s="37"/>
      <c r="C818" s="38"/>
      <c r="D818" s="38"/>
      <c r="E818" s="37"/>
    </row>
    <row r="819">
      <c r="A819" s="37"/>
      <c r="B819" s="37"/>
      <c r="C819" s="38"/>
      <c r="D819" s="38"/>
      <c r="E819" s="37"/>
    </row>
    <row r="820">
      <c r="A820" s="37"/>
      <c r="B820" s="37"/>
      <c r="C820" s="38"/>
      <c r="D820" s="38"/>
      <c r="E820" s="37"/>
    </row>
    <row r="821">
      <c r="A821" s="37"/>
      <c r="B821" s="37"/>
      <c r="C821" s="38"/>
      <c r="D821" s="38"/>
      <c r="E821" s="37"/>
    </row>
    <row r="822">
      <c r="A822" s="37"/>
      <c r="B822" s="37"/>
      <c r="C822" s="38"/>
      <c r="D822" s="38"/>
      <c r="E822" s="37"/>
    </row>
    <row r="823">
      <c r="A823" s="37"/>
      <c r="B823" s="37"/>
      <c r="C823" s="38"/>
      <c r="D823" s="38"/>
      <c r="E823" s="37"/>
    </row>
    <row r="824">
      <c r="A824" s="37"/>
      <c r="B824" s="37"/>
      <c r="C824" s="38"/>
      <c r="D824" s="38"/>
      <c r="E824" s="37"/>
    </row>
    <row r="825">
      <c r="A825" s="37"/>
      <c r="B825" s="37"/>
      <c r="C825" s="38"/>
      <c r="D825" s="38"/>
      <c r="E825" s="37"/>
    </row>
    <row r="826">
      <c r="A826" s="37"/>
      <c r="B826" s="37"/>
      <c r="C826" s="38"/>
      <c r="D826" s="38"/>
      <c r="E826" s="37"/>
    </row>
    <row r="827">
      <c r="A827" s="37"/>
      <c r="B827" s="37"/>
      <c r="C827" s="38"/>
      <c r="D827" s="38"/>
      <c r="E827" s="37"/>
    </row>
    <row r="828">
      <c r="A828" s="37"/>
      <c r="B828" s="37"/>
      <c r="C828" s="38"/>
      <c r="D828" s="38"/>
      <c r="E828" s="37"/>
    </row>
    <row r="829">
      <c r="A829" s="37"/>
      <c r="B829" s="37"/>
      <c r="C829" s="38"/>
      <c r="D829" s="38"/>
      <c r="E829" s="37"/>
    </row>
    <row r="830">
      <c r="A830" s="37"/>
      <c r="B830" s="37"/>
      <c r="C830" s="38"/>
      <c r="D830" s="38"/>
      <c r="E830" s="37"/>
    </row>
    <row r="831">
      <c r="A831" s="37"/>
      <c r="B831" s="37"/>
      <c r="C831" s="38"/>
      <c r="D831" s="38"/>
      <c r="E831" s="37"/>
    </row>
    <row r="832">
      <c r="A832" s="37"/>
      <c r="B832" s="37"/>
      <c r="C832" s="38"/>
      <c r="D832" s="38"/>
      <c r="E832" s="37"/>
    </row>
    <row r="833">
      <c r="A833" s="37"/>
      <c r="B833" s="37"/>
      <c r="C833" s="38"/>
      <c r="D833" s="38"/>
      <c r="E833" s="37"/>
    </row>
    <row r="834">
      <c r="A834" s="37"/>
      <c r="B834" s="37"/>
      <c r="C834" s="38"/>
      <c r="D834" s="38"/>
      <c r="E834" s="37"/>
    </row>
    <row r="835">
      <c r="A835" s="37"/>
      <c r="B835" s="37"/>
      <c r="C835" s="38"/>
      <c r="D835" s="38"/>
      <c r="E835" s="37"/>
    </row>
    <row r="836">
      <c r="A836" s="37"/>
      <c r="B836" s="37"/>
      <c r="C836" s="38"/>
      <c r="D836" s="38"/>
      <c r="E836" s="37"/>
    </row>
    <row r="837">
      <c r="A837" s="37"/>
      <c r="B837" s="37"/>
      <c r="C837" s="38"/>
      <c r="D837" s="38"/>
      <c r="E837" s="37"/>
    </row>
    <row r="838">
      <c r="A838" s="37"/>
      <c r="B838" s="37"/>
      <c r="C838" s="38"/>
      <c r="D838" s="38"/>
      <c r="E838" s="37"/>
    </row>
    <row r="839">
      <c r="A839" s="37"/>
      <c r="B839" s="37"/>
      <c r="C839" s="38"/>
      <c r="D839" s="38"/>
      <c r="E839" s="37"/>
    </row>
    <row r="840">
      <c r="A840" s="37"/>
      <c r="B840" s="37"/>
      <c r="C840" s="38"/>
      <c r="D840" s="38"/>
      <c r="E840" s="37"/>
    </row>
    <row r="841">
      <c r="A841" s="37"/>
      <c r="B841" s="37"/>
      <c r="C841" s="38"/>
      <c r="D841" s="38"/>
      <c r="E841" s="37"/>
    </row>
    <row r="842">
      <c r="A842" s="37"/>
      <c r="B842" s="37"/>
      <c r="C842" s="38"/>
      <c r="D842" s="38"/>
      <c r="E842" s="37"/>
    </row>
    <row r="843">
      <c r="A843" s="37"/>
      <c r="B843" s="37"/>
      <c r="C843" s="38"/>
      <c r="D843" s="38"/>
      <c r="E843" s="37"/>
    </row>
    <row r="844">
      <c r="A844" s="37"/>
      <c r="B844" s="37"/>
      <c r="C844" s="38"/>
      <c r="D844" s="38"/>
      <c r="E844" s="37"/>
    </row>
    <row r="845">
      <c r="A845" s="37"/>
      <c r="B845" s="37"/>
      <c r="C845" s="38"/>
      <c r="D845" s="38"/>
      <c r="E845" s="37"/>
    </row>
    <row r="846">
      <c r="A846" s="37"/>
      <c r="B846" s="37"/>
      <c r="C846" s="38"/>
      <c r="D846" s="38"/>
      <c r="E846" s="37"/>
    </row>
    <row r="847">
      <c r="A847" s="37"/>
      <c r="B847" s="37"/>
      <c r="C847" s="38"/>
      <c r="D847" s="38"/>
      <c r="E847" s="37"/>
    </row>
    <row r="848">
      <c r="A848" s="37"/>
      <c r="B848" s="37"/>
      <c r="C848" s="38"/>
      <c r="D848" s="38"/>
      <c r="E848" s="37"/>
    </row>
    <row r="849">
      <c r="A849" s="37"/>
      <c r="B849" s="37"/>
      <c r="C849" s="38"/>
      <c r="D849" s="38"/>
      <c r="E849" s="37"/>
    </row>
    <row r="850">
      <c r="A850" s="37"/>
      <c r="B850" s="37"/>
      <c r="C850" s="38"/>
      <c r="D850" s="38"/>
      <c r="E850" s="37"/>
    </row>
    <row r="851">
      <c r="A851" s="37"/>
      <c r="B851" s="37"/>
      <c r="C851" s="38"/>
      <c r="D851" s="38"/>
      <c r="E851" s="37"/>
    </row>
    <row r="852">
      <c r="A852" s="37"/>
      <c r="B852" s="37"/>
      <c r="C852" s="38"/>
      <c r="D852" s="38"/>
      <c r="E852" s="37"/>
    </row>
    <row r="853">
      <c r="A853" s="37"/>
      <c r="B853" s="37"/>
      <c r="C853" s="38"/>
      <c r="D853" s="38"/>
      <c r="E853" s="37"/>
    </row>
    <row r="854">
      <c r="A854" s="37"/>
      <c r="B854" s="37"/>
      <c r="C854" s="38"/>
      <c r="D854" s="38"/>
      <c r="E854" s="37"/>
    </row>
    <row r="855">
      <c r="A855" s="37"/>
      <c r="B855" s="37"/>
      <c r="C855" s="38"/>
      <c r="D855" s="38"/>
      <c r="E855" s="37"/>
    </row>
    <row r="856">
      <c r="A856" s="37"/>
      <c r="B856" s="37"/>
      <c r="C856" s="38"/>
      <c r="D856" s="38"/>
      <c r="E856" s="37"/>
    </row>
    <row r="857">
      <c r="A857" s="37"/>
      <c r="B857" s="37"/>
      <c r="C857" s="38"/>
      <c r="D857" s="38"/>
      <c r="E857" s="37"/>
    </row>
    <row r="858">
      <c r="A858" s="37"/>
      <c r="B858" s="37"/>
      <c r="C858" s="38"/>
      <c r="D858" s="38"/>
      <c r="E858" s="37"/>
    </row>
    <row r="859">
      <c r="A859" s="37"/>
      <c r="B859" s="37"/>
      <c r="C859" s="38"/>
      <c r="D859" s="38"/>
      <c r="E859" s="37"/>
    </row>
    <row r="860">
      <c r="A860" s="37"/>
      <c r="B860" s="37"/>
      <c r="C860" s="38"/>
      <c r="D860" s="38"/>
      <c r="E860" s="37"/>
    </row>
    <row r="861">
      <c r="A861" s="37"/>
      <c r="B861" s="37"/>
      <c r="C861" s="38"/>
      <c r="D861" s="38"/>
      <c r="E861" s="37"/>
    </row>
    <row r="862">
      <c r="A862" s="37"/>
      <c r="B862" s="37"/>
      <c r="C862" s="38"/>
      <c r="D862" s="38"/>
      <c r="E862" s="37"/>
    </row>
    <row r="863">
      <c r="A863" s="37"/>
      <c r="B863" s="37"/>
      <c r="C863" s="38"/>
      <c r="D863" s="38"/>
      <c r="E863" s="37"/>
    </row>
    <row r="864">
      <c r="A864" s="37"/>
      <c r="B864" s="37"/>
      <c r="C864" s="38"/>
      <c r="D864" s="38"/>
      <c r="E864" s="37"/>
    </row>
    <row r="865">
      <c r="A865" s="37"/>
      <c r="B865" s="37"/>
      <c r="C865" s="38"/>
      <c r="D865" s="38"/>
      <c r="E865" s="37"/>
    </row>
    <row r="866">
      <c r="A866" s="37"/>
      <c r="B866" s="37"/>
      <c r="C866" s="38"/>
      <c r="D866" s="38"/>
      <c r="E866" s="37"/>
    </row>
    <row r="867">
      <c r="A867" s="37"/>
      <c r="B867" s="37"/>
      <c r="C867" s="38"/>
      <c r="D867" s="38"/>
      <c r="E867" s="37"/>
    </row>
    <row r="868">
      <c r="A868" s="37"/>
      <c r="B868" s="37"/>
      <c r="C868" s="38"/>
      <c r="D868" s="38"/>
      <c r="E868" s="37"/>
    </row>
    <row r="869">
      <c r="A869" s="37"/>
      <c r="B869" s="37"/>
      <c r="C869" s="38"/>
      <c r="D869" s="38"/>
      <c r="E869" s="37"/>
    </row>
    <row r="870">
      <c r="A870" s="37"/>
      <c r="B870" s="37"/>
      <c r="C870" s="38"/>
      <c r="D870" s="38"/>
      <c r="E870" s="37"/>
    </row>
    <row r="871">
      <c r="A871" s="37"/>
      <c r="B871" s="37"/>
      <c r="C871" s="38"/>
      <c r="D871" s="38"/>
      <c r="E871" s="37"/>
    </row>
    <row r="872">
      <c r="A872" s="37"/>
      <c r="B872" s="37"/>
      <c r="C872" s="38"/>
      <c r="D872" s="38"/>
      <c r="E872" s="37"/>
    </row>
    <row r="873">
      <c r="A873" s="37"/>
      <c r="B873" s="37"/>
      <c r="C873" s="38"/>
      <c r="D873" s="38"/>
      <c r="E873" s="37"/>
    </row>
    <row r="874">
      <c r="A874" s="37"/>
      <c r="B874" s="37"/>
      <c r="C874" s="38"/>
      <c r="D874" s="38"/>
      <c r="E874" s="37"/>
    </row>
    <row r="875">
      <c r="A875" s="37"/>
      <c r="B875" s="37"/>
      <c r="C875" s="38"/>
      <c r="D875" s="38"/>
      <c r="E875" s="37"/>
    </row>
    <row r="876">
      <c r="A876" s="37"/>
      <c r="B876" s="37"/>
      <c r="C876" s="38"/>
      <c r="D876" s="38"/>
      <c r="E876" s="37"/>
    </row>
    <row r="877">
      <c r="A877" s="37"/>
      <c r="B877" s="37"/>
      <c r="C877" s="38"/>
      <c r="D877" s="38"/>
      <c r="E877" s="37"/>
    </row>
    <row r="878">
      <c r="A878" s="37"/>
      <c r="B878" s="37"/>
      <c r="C878" s="38"/>
      <c r="D878" s="38"/>
      <c r="E878" s="37"/>
    </row>
    <row r="879">
      <c r="A879" s="37"/>
      <c r="B879" s="37"/>
      <c r="C879" s="38"/>
      <c r="D879" s="38"/>
      <c r="E879" s="37"/>
    </row>
    <row r="880">
      <c r="A880" s="37"/>
      <c r="B880" s="37"/>
      <c r="C880" s="38"/>
      <c r="D880" s="38"/>
      <c r="E880" s="37"/>
    </row>
    <row r="881">
      <c r="A881" s="37"/>
      <c r="B881" s="37"/>
      <c r="C881" s="38"/>
      <c r="D881" s="38"/>
      <c r="E881" s="37"/>
    </row>
    <row r="882">
      <c r="A882" s="37"/>
      <c r="B882" s="37"/>
      <c r="C882" s="38"/>
      <c r="D882" s="38"/>
      <c r="E882" s="37"/>
    </row>
    <row r="883">
      <c r="A883" s="37"/>
      <c r="B883" s="37"/>
      <c r="C883" s="38"/>
      <c r="D883" s="38"/>
      <c r="E883" s="37"/>
    </row>
    <row r="884">
      <c r="A884" s="37"/>
      <c r="B884" s="37"/>
      <c r="C884" s="38"/>
      <c r="D884" s="38"/>
      <c r="E884" s="37"/>
    </row>
    <row r="885">
      <c r="A885" s="37"/>
      <c r="B885" s="37"/>
      <c r="C885" s="38"/>
      <c r="D885" s="38"/>
      <c r="E885" s="37"/>
    </row>
    <row r="886">
      <c r="A886" s="37"/>
      <c r="B886" s="37"/>
      <c r="C886" s="38"/>
      <c r="D886" s="38"/>
      <c r="E886" s="37"/>
    </row>
    <row r="887">
      <c r="A887" s="37"/>
      <c r="B887" s="37"/>
      <c r="C887" s="38"/>
      <c r="D887" s="38"/>
      <c r="E887" s="37"/>
    </row>
    <row r="888">
      <c r="A888" s="37"/>
      <c r="B888" s="37"/>
      <c r="C888" s="38"/>
      <c r="D888" s="38"/>
      <c r="E888" s="37"/>
    </row>
    <row r="889">
      <c r="A889" s="37"/>
      <c r="B889" s="37"/>
      <c r="C889" s="38"/>
      <c r="D889" s="38"/>
      <c r="E889" s="37"/>
    </row>
    <row r="890">
      <c r="A890" s="37"/>
      <c r="B890" s="37"/>
      <c r="C890" s="38"/>
      <c r="D890" s="38"/>
      <c r="E890" s="37"/>
    </row>
    <row r="891">
      <c r="A891" s="37"/>
      <c r="B891" s="37"/>
      <c r="C891" s="38"/>
      <c r="D891" s="38"/>
      <c r="E891" s="37"/>
    </row>
    <row r="892">
      <c r="A892" s="37"/>
      <c r="B892" s="37"/>
      <c r="C892" s="38"/>
      <c r="D892" s="38"/>
      <c r="E892" s="37"/>
    </row>
    <row r="893">
      <c r="A893" s="37"/>
      <c r="B893" s="37"/>
      <c r="C893" s="38"/>
      <c r="D893" s="38"/>
      <c r="E893" s="37"/>
    </row>
    <row r="894">
      <c r="A894" s="37"/>
      <c r="B894" s="37"/>
      <c r="C894" s="38"/>
      <c r="D894" s="38"/>
      <c r="E894" s="37"/>
    </row>
    <row r="895">
      <c r="A895" s="37"/>
      <c r="B895" s="37"/>
      <c r="C895" s="38"/>
      <c r="D895" s="38"/>
      <c r="E895" s="37"/>
    </row>
    <row r="896">
      <c r="A896" s="37"/>
      <c r="B896" s="37"/>
      <c r="C896" s="38"/>
      <c r="D896" s="38"/>
      <c r="E896" s="37"/>
    </row>
    <row r="897">
      <c r="A897" s="37"/>
      <c r="B897" s="37"/>
      <c r="C897" s="38"/>
      <c r="D897" s="38"/>
      <c r="E897" s="37"/>
    </row>
    <row r="898">
      <c r="A898" s="37"/>
      <c r="B898" s="37"/>
      <c r="C898" s="38"/>
      <c r="D898" s="38"/>
      <c r="E898" s="37"/>
    </row>
    <row r="899">
      <c r="A899" s="37"/>
      <c r="B899" s="37"/>
      <c r="C899" s="38"/>
      <c r="D899" s="38"/>
      <c r="E899" s="37"/>
    </row>
    <row r="900">
      <c r="A900" s="37"/>
      <c r="B900" s="37"/>
      <c r="C900" s="38"/>
      <c r="D900" s="38"/>
      <c r="E900" s="37"/>
    </row>
    <row r="901">
      <c r="A901" s="37"/>
      <c r="B901" s="37"/>
      <c r="C901" s="38"/>
      <c r="D901" s="38"/>
      <c r="E901" s="37"/>
    </row>
    <row r="902">
      <c r="A902" s="37"/>
      <c r="B902" s="37"/>
      <c r="C902" s="38"/>
      <c r="D902" s="38"/>
      <c r="E902" s="37"/>
    </row>
    <row r="903">
      <c r="A903" s="37"/>
      <c r="B903" s="37"/>
      <c r="C903" s="38"/>
      <c r="D903" s="38"/>
      <c r="E903" s="37"/>
    </row>
    <row r="904">
      <c r="A904" s="37"/>
      <c r="B904" s="37"/>
      <c r="C904" s="38"/>
      <c r="D904" s="38"/>
      <c r="E904" s="37"/>
    </row>
    <row r="905">
      <c r="A905" s="37"/>
      <c r="B905" s="37"/>
      <c r="C905" s="38"/>
      <c r="D905" s="38"/>
      <c r="E905" s="37"/>
    </row>
    <row r="906">
      <c r="A906" s="37"/>
      <c r="B906" s="37"/>
      <c r="C906" s="38"/>
      <c r="D906" s="38"/>
      <c r="E906" s="37"/>
    </row>
    <row r="907">
      <c r="A907" s="37"/>
      <c r="B907" s="37"/>
      <c r="C907" s="38"/>
      <c r="D907" s="38"/>
      <c r="E907" s="37"/>
    </row>
    <row r="908">
      <c r="A908" s="37"/>
      <c r="B908" s="37"/>
      <c r="C908" s="38"/>
      <c r="D908" s="38"/>
      <c r="E908" s="37"/>
    </row>
    <row r="909">
      <c r="A909" s="37"/>
      <c r="B909" s="37"/>
      <c r="C909" s="38"/>
      <c r="D909" s="38"/>
      <c r="E909" s="37"/>
    </row>
    <row r="910">
      <c r="A910" s="37"/>
      <c r="B910" s="37"/>
      <c r="C910" s="38"/>
      <c r="D910" s="38"/>
      <c r="E910" s="37"/>
    </row>
    <row r="911">
      <c r="A911" s="37"/>
      <c r="B911" s="37"/>
      <c r="C911" s="38"/>
      <c r="D911" s="38"/>
      <c r="E911" s="37"/>
    </row>
    <row r="912">
      <c r="A912" s="37"/>
      <c r="B912" s="37"/>
      <c r="C912" s="38"/>
      <c r="D912" s="38"/>
      <c r="E912" s="37"/>
    </row>
    <row r="913">
      <c r="A913" s="37"/>
      <c r="B913" s="37"/>
      <c r="C913" s="38"/>
      <c r="D913" s="38"/>
      <c r="E913" s="37"/>
    </row>
    <row r="914">
      <c r="A914" s="37"/>
      <c r="B914" s="37"/>
      <c r="C914" s="38"/>
      <c r="D914" s="38"/>
      <c r="E914" s="37"/>
    </row>
    <row r="915">
      <c r="A915" s="37"/>
      <c r="B915" s="37"/>
      <c r="C915" s="38"/>
      <c r="D915" s="38"/>
      <c r="E915" s="37"/>
    </row>
    <row r="916">
      <c r="A916" s="37"/>
      <c r="B916" s="37"/>
      <c r="C916" s="38"/>
      <c r="D916" s="38"/>
      <c r="E916" s="37"/>
    </row>
    <row r="917">
      <c r="A917" s="37"/>
      <c r="B917" s="37"/>
      <c r="C917" s="38"/>
      <c r="D917" s="38"/>
      <c r="E917" s="37"/>
    </row>
    <row r="918">
      <c r="A918" s="37"/>
      <c r="B918" s="37"/>
      <c r="C918" s="38"/>
      <c r="D918" s="38"/>
      <c r="E918" s="37"/>
    </row>
    <row r="919">
      <c r="A919" s="37"/>
      <c r="B919" s="37"/>
      <c r="C919" s="38"/>
      <c r="D919" s="38"/>
      <c r="E919" s="37"/>
    </row>
    <row r="920">
      <c r="A920" s="37"/>
      <c r="B920" s="37"/>
      <c r="C920" s="38"/>
      <c r="D920" s="38"/>
      <c r="E920" s="37"/>
    </row>
    <row r="921">
      <c r="A921" s="37"/>
      <c r="B921" s="37"/>
      <c r="C921" s="38"/>
      <c r="D921" s="38"/>
      <c r="E921" s="37"/>
    </row>
    <row r="922">
      <c r="A922" s="37"/>
      <c r="B922" s="37"/>
      <c r="C922" s="38"/>
      <c r="D922" s="38"/>
      <c r="E922" s="37"/>
    </row>
    <row r="923">
      <c r="A923" s="37"/>
      <c r="B923" s="37"/>
      <c r="C923" s="38"/>
      <c r="D923" s="38"/>
      <c r="E923" s="37"/>
    </row>
    <row r="924">
      <c r="A924" s="37"/>
      <c r="B924" s="37"/>
      <c r="C924" s="38"/>
      <c r="D924" s="38"/>
      <c r="E924" s="37"/>
    </row>
    <row r="925">
      <c r="A925" s="37"/>
      <c r="B925" s="37"/>
      <c r="C925" s="38"/>
      <c r="D925" s="38"/>
      <c r="E925" s="37"/>
    </row>
    <row r="926">
      <c r="A926" s="37"/>
      <c r="B926" s="37"/>
      <c r="C926" s="38"/>
      <c r="D926" s="38"/>
      <c r="E926" s="37"/>
    </row>
    <row r="927">
      <c r="A927" s="37"/>
      <c r="B927" s="37"/>
      <c r="C927" s="38"/>
      <c r="D927" s="38"/>
      <c r="E927" s="37"/>
    </row>
    <row r="928">
      <c r="A928" s="37"/>
      <c r="B928" s="37"/>
      <c r="C928" s="38"/>
      <c r="D928" s="38"/>
      <c r="E928" s="37"/>
    </row>
    <row r="929">
      <c r="A929" s="37"/>
      <c r="B929" s="37"/>
      <c r="C929" s="38"/>
      <c r="D929" s="38"/>
      <c r="E929" s="37"/>
    </row>
    <row r="930">
      <c r="A930" s="37"/>
      <c r="B930" s="37"/>
      <c r="C930" s="38"/>
      <c r="D930" s="38"/>
      <c r="E930" s="37"/>
    </row>
    <row r="931">
      <c r="A931" s="37"/>
      <c r="B931" s="37"/>
      <c r="C931" s="38"/>
      <c r="D931" s="38"/>
      <c r="E931" s="37"/>
    </row>
    <row r="932">
      <c r="A932" s="37"/>
      <c r="B932" s="37"/>
      <c r="C932" s="38"/>
      <c r="D932" s="38"/>
      <c r="E932" s="37"/>
    </row>
    <row r="933">
      <c r="A933" s="37"/>
      <c r="B933" s="37"/>
      <c r="C933" s="38"/>
      <c r="D933" s="38"/>
      <c r="E933" s="37"/>
    </row>
    <row r="934">
      <c r="A934" s="37"/>
      <c r="B934" s="37"/>
      <c r="C934" s="38"/>
      <c r="D934" s="38"/>
      <c r="E934" s="37"/>
    </row>
    <row r="935">
      <c r="A935" s="37"/>
      <c r="B935" s="37"/>
      <c r="C935" s="38"/>
      <c r="D935" s="38"/>
      <c r="E935" s="37"/>
    </row>
    <row r="936">
      <c r="A936" s="37"/>
      <c r="B936" s="37"/>
      <c r="C936" s="38"/>
      <c r="D936" s="38"/>
      <c r="E936" s="37"/>
    </row>
    <row r="937">
      <c r="A937" s="37"/>
      <c r="B937" s="37"/>
      <c r="C937" s="38"/>
      <c r="D937" s="38"/>
      <c r="E937" s="37"/>
    </row>
    <row r="938">
      <c r="A938" s="37"/>
      <c r="B938" s="37"/>
      <c r="C938" s="38"/>
      <c r="D938" s="38"/>
      <c r="E938" s="37"/>
    </row>
    <row r="939">
      <c r="A939" s="37"/>
      <c r="B939" s="37"/>
      <c r="C939" s="38"/>
      <c r="D939" s="38"/>
      <c r="E939" s="37"/>
    </row>
    <row r="940">
      <c r="A940" s="37"/>
      <c r="B940" s="37"/>
      <c r="C940" s="38"/>
      <c r="D940" s="38"/>
      <c r="E940" s="37"/>
    </row>
    <row r="941">
      <c r="A941" s="37"/>
      <c r="B941" s="37"/>
      <c r="C941" s="38"/>
      <c r="D941" s="38"/>
      <c r="E941" s="37"/>
    </row>
    <row r="942">
      <c r="A942" s="37"/>
      <c r="B942" s="37"/>
      <c r="C942" s="38"/>
      <c r="D942" s="38"/>
      <c r="E942" s="37"/>
    </row>
    <row r="943">
      <c r="A943" s="37"/>
      <c r="B943" s="37"/>
      <c r="C943" s="38"/>
      <c r="D943" s="38"/>
      <c r="E943" s="37"/>
    </row>
    <row r="944">
      <c r="A944" s="37"/>
      <c r="B944" s="37"/>
      <c r="C944" s="38"/>
      <c r="D944" s="38"/>
      <c r="E944" s="37"/>
    </row>
    <row r="945">
      <c r="A945" s="37"/>
      <c r="B945" s="37"/>
      <c r="C945" s="38"/>
      <c r="D945" s="38"/>
      <c r="E945" s="37"/>
    </row>
    <row r="946">
      <c r="A946" s="37"/>
      <c r="B946" s="37"/>
      <c r="C946" s="38"/>
      <c r="D946" s="38"/>
      <c r="E946" s="37"/>
    </row>
    <row r="947">
      <c r="A947" s="37"/>
      <c r="B947" s="37"/>
      <c r="C947" s="38"/>
      <c r="D947" s="38"/>
      <c r="E947" s="37"/>
    </row>
    <row r="948">
      <c r="A948" s="37"/>
      <c r="B948" s="37"/>
      <c r="C948" s="38"/>
      <c r="D948" s="38"/>
      <c r="E948" s="37"/>
    </row>
    <row r="949">
      <c r="A949" s="37"/>
      <c r="B949" s="37"/>
      <c r="C949" s="38"/>
      <c r="D949" s="38"/>
      <c r="E949" s="37"/>
    </row>
    <row r="950">
      <c r="A950" s="37"/>
      <c r="B950" s="37"/>
      <c r="C950" s="38"/>
      <c r="D950" s="38"/>
      <c r="E950" s="37"/>
    </row>
    <row r="951">
      <c r="A951" s="37"/>
      <c r="B951" s="37"/>
      <c r="C951" s="38"/>
      <c r="D951" s="38"/>
      <c r="E951" s="37"/>
    </row>
    <row r="952">
      <c r="A952" s="37"/>
      <c r="B952" s="37"/>
      <c r="C952" s="38"/>
      <c r="D952" s="38"/>
      <c r="E952" s="37"/>
    </row>
    <row r="953">
      <c r="A953" s="37"/>
      <c r="B953" s="37"/>
      <c r="C953" s="38"/>
      <c r="D953" s="38"/>
      <c r="E953" s="37"/>
    </row>
    <row r="954">
      <c r="A954" s="37"/>
      <c r="B954" s="37"/>
      <c r="C954" s="38"/>
      <c r="D954" s="38"/>
      <c r="E954" s="37"/>
    </row>
    <row r="955">
      <c r="A955" s="37"/>
      <c r="B955" s="37"/>
      <c r="C955" s="38"/>
      <c r="D955" s="38"/>
      <c r="E955" s="37"/>
    </row>
    <row r="956">
      <c r="A956" s="37"/>
      <c r="B956" s="37"/>
      <c r="C956" s="38"/>
      <c r="D956" s="38"/>
      <c r="E956" s="37"/>
    </row>
    <row r="957">
      <c r="A957" s="37"/>
      <c r="B957" s="37"/>
      <c r="C957" s="38"/>
      <c r="D957" s="38"/>
      <c r="E957" s="37"/>
    </row>
    <row r="958">
      <c r="A958" s="37"/>
      <c r="B958" s="37"/>
      <c r="C958" s="38"/>
      <c r="D958" s="38"/>
      <c r="E958" s="37"/>
    </row>
    <row r="959">
      <c r="A959" s="37"/>
      <c r="B959" s="37"/>
      <c r="C959" s="38"/>
      <c r="D959" s="38"/>
      <c r="E959" s="37"/>
    </row>
    <row r="960">
      <c r="A960" s="37"/>
      <c r="B960" s="37"/>
      <c r="C960" s="38"/>
      <c r="D960" s="38"/>
      <c r="E960" s="37"/>
    </row>
    <row r="961">
      <c r="A961" s="37"/>
      <c r="B961" s="37"/>
      <c r="C961" s="38"/>
      <c r="D961" s="38"/>
      <c r="E961" s="37"/>
    </row>
    <row r="962">
      <c r="A962" s="37"/>
      <c r="B962" s="37"/>
      <c r="C962" s="38"/>
      <c r="D962" s="38"/>
      <c r="E962" s="37"/>
    </row>
    <row r="963">
      <c r="A963" s="37"/>
      <c r="B963" s="37"/>
      <c r="C963" s="38"/>
      <c r="D963" s="38"/>
      <c r="E963" s="37"/>
    </row>
    <row r="964">
      <c r="A964" s="37"/>
      <c r="B964" s="37"/>
      <c r="C964" s="38"/>
      <c r="D964" s="38"/>
      <c r="E964" s="37"/>
    </row>
    <row r="965">
      <c r="A965" s="37"/>
      <c r="B965" s="37"/>
      <c r="C965" s="38"/>
      <c r="D965" s="38"/>
      <c r="E965" s="37"/>
    </row>
    <row r="966">
      <c r="A966" s="37"/>
      <c r="B966" s="37"/>
      <c r="C966" s="38"/>
      <c r="D966" s="38"/>
      <c r="E966" s="37"/>
    </row>
    <row r="967">
      <c r="A967" s="37"/>
      <c r="B967" s="37"/>
      <c r="C967" s="38"/>
      <c r="D967" s="38"/>
      <c r="E967" s="37"/>
    </row>
    <row r="968">
      <c r="A968" s="37"/>
      <c r="B968" s="37"/>
      <c r="C968" s="38"/>
      <c r="D968" s="38"/>
      <c r="E968" s="37"/>
    </row>
    <row r="969">
      <c r="A969" s="37"/>
      <c r="B969" s="37"/>
      <c r="C969" s="38"/>
      <c r="D969" s="38"/>
      <c r="E969" s="37"/>
    </row>
    <row r="970">
      <c r="A970" s="37"/>
      <c r="B970" s="37"/>
      <c r="C970" s="38"/>
      <c r="D970" s="38"/>
      <c r="E970" s="37"/>
    </row>
    <row r="971">
      <c r="A971" s="37"/>
      <c r="B971" s="37"/>
      <c r="C971" s="38"/>
      <c r="D971" s="38"/>
      <c r="E971" s="37"/>
    </row>
    <row r="972">
      <c r="A972" s="37"/>
      <c r="B972" s="37"/>
      <c r="C972" s="38"/>
      <c r="D972" s="38"/>
      <c r="E972" s="37"/>
    </row>
    <row r="973">
      <c r="A973" s="37"/>
      <c r="B973" s="37"/>
      <c r="C973" s="38"/>
      <c r="D973" s="38"/>
      <c r="E973" s="37"/>
    </row>
    <row r="974">
      <c r="A974" s="37"/>
      <c r="B974" s="37"/>
      <c r="C974" s="38"/>
      <c r="D974" s="38"/>
      <c r="E974" s="37"/>
    </row>
    <row r="975">
      <c r="A975" s="37"/>
      <c r="B975" s="37"/>
      <c r="C975" s="38"/>
      <c r="D975" s="38"/>
      <c r="E975" s="37"/>
    </row>
    <row r="976">
      <c r="A976" s="37"/>
      <c r="B976" s="37"/>
      <c r="C976" s="38"/>
      <c r="D976" s="38"/>
      <c r="E976" s="37"/>
    </row>
    <row r="977">
      <c r="A977" s="37"/>
      <c r="B977" s="37"/>
      <c r="C977" s="38"/>
      <c r="D977" s="38"/>
      <c r="E977" s="37"/>
    </row>
    <row r="978">
      <c r="A978" s="37"/>
      <c r="B978" s="37"/>
      <c r="C978" s="38"/>
      <c r="D978" s="38"/>
      <c r="E978" s="37"/>
    </row>
    <row r="979">
      <c r="A979" s="37"/>
      <c r="B979" s="37"/>
      <c r="C979" s="38"/>
      <c r="D979" s="38"/>
      <c r="E979" s="37"/>
    </row>
    <row r="980">
      <c r="A980" s="37"/>
      <c r="B980" s="37"/>
      <c r="C980" s="38"/>
      <c r="D980" s="38"/>
      <c r="E980" s="37"/>
    </row>
    <row r="981">
      <c r="A981" s="37"/>
      <c r="B981" s="37"/>
      <c r="C981" s="38"/>
      <c r="D981" s="38"/>
      <c r="E981" s="37"/>
    </row>
    <row r="982">
      <c r="A982" s="37"/>
      <c r="B982" s="37"/>
      <c r="C982" s="38"/>
      <c r="D982" s="38"/>
      <c r="E982" s="37"/>
    </row>
    <row r="983">
      <c r="A983" s="37"/>
      <c r="B983" s="37"/>
      <c r="C983" s="38"/>
      <c r="D983" s="38"/>
      <c r="E983" s="37"/>
    </row>
    <row r="984">
      <c r="A984" s="37"/>
      <c r="B984" s="37"/>
      <c r="C984" s="38"/>
      <c r="D984" s="38"/>
      <c r="E984" s="37"/>
    </row>
    <row r="985">
      <c r="A985" s="37"/>
      <c r="B985" s="37"/>
      <c r="C985" s="38"/>
      <c r="D985" s="38"/>
      <c r="E985" s="37"/>
    </row>
    <row r="986">
      <c r="A986" s="37"/>
      <c r="B986" s="37"/>
      <c r="C986" s="38"/>
      <c r="D986" s="38"/>
      <c r="E986" s="37"/>
    </row>
    <row r="987">
      <c r="A987" s="37"/>
      <c r="B987" s="37"/>
      <c r="C987" s="38"/>
      <c r="D987" s="38"/>
      <c r="E987" s="37"/>
    </row>
    <row r="988">
      <c r="A988" s="37"/>
      <c r="B988" s="37"/>
      <c r="C988" s="38"/>
      <c r="D988" s="38"/>
      <c r="E988" s="37"/>
    </row>
    <row r="989">
      <c r="A989" s="37"/>
      <c r="B989" s="37"/>
      <c r="C989" s="38"/>
      <c r="D989" s="38"/>
      <c r="E989" s="37"/>
    </row>
    <row r="990">
      <c r="A990" s="37"/>
      <c r="B990" s="37"/>
      <c r="C990" s="38"/>
      <c r="D990" s="38"/>
      <c r="E990" s="37"/>
    </row>
    <row r="991">
      <c r="A991" s="37"/>
      <c r="B991" s="37"/>
      <c r="C991" s="38"/>
      <c r="D991" s="38"/>
      <c r="E991" s="37"/>
    </row>
    <row r="992">
      <c r="A992" s="37"/>
      <c r="B992" s="37"/>
      <c r="C992" s="38"/>
      <c r="D992" s="38"/>
      <c r="E992" s="37"/>
    </row>
    <row r="993">
      <c r="A993" s="37"/>
      <c r="B993" s="37"/>
      <c r="C993" s="38"/>
      <c r="D993" s="38"/>
      <c r="E993" s="37"/>
    </row>
    <row r="994">
      <c r="A994" s="37"/>
      <c r="B994" s="37"/>
      <c r="C994" s="38"/>
      <c r="D994" s="38"/>
      <c r="E994" s="37"/>
    </row>
    <row r="995">
      <c r="A995" s="37"/>
      <c r="B995" s="37"/>
      <c r="C995" s="38"/>
      <c r="D995" s="38"/>
      <c r="E995" s="37"/>
    </row>
    <row r="996">
      <c r="A996" s="37"/>
      <c r="B996" s="37"/>
      <c r="C996" s="38"/>
      <c r="D996" s="38"/>
      <c r="E996" s="37"/>
    </row>
    <row r="997">
      <c r="A997" s="37"/>
      <c r="B997" s="37"/>
      <c r="C997" s="38"/>
      <c r="D997" s="38"/>
      <c r="E997" s="37"/>
    </row>
    <row r="998">
      <c r="A998" s="37"/>
      <c r="B998" s="37"/>
      <c r="C998" s="38"/>
      <c r="D998" s="38"/>
      <c r="E998" s="37"/>
    </row>
    <row r="999">
      <c r="A999" s="37"/>
      <c r="B999" s="37"/>
      <c r="C999" s="38"/>
      <c r="D999" s="38"/>
      <c r="E999" s="37"/>
    </row>
    <row r="1000">
      <c r="A1000" s="37"/>
      <c r="B1000" s="37"/>
      <c r="C1000" s="38"/>
      <c r="D1000" s="38"/>
      <c r="E1000" s="37"/>
    </row>
    <row r="1001">
      <c r="A1001" s="37"/>
      <c r="B1001" s="37"/>
      <c r="C1001" s="38"/>
      <c r="D1001" s="38"/>
      <c r="E1001" s="37"/>
    </row>
  </sheetData>
  <mergeCells count="1">
    <mergeCell ref="B46:D4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9.75"/>
    <col customWidth="1" min="2" max="2" width="28.5"/>
    <col customWidth="1" min="3" max="3" width="12.63"/>
    <col customWidth="1" min="4" max="4" width="17.63"/>
    <col customWidth="1" min="5" max="5" width="15.5"/>
    <col customWidth="1" min="6" max="6" width="12.63"/>
  </cols>
  <sheetData>
    <row r="1" ht="39.0" customHeight="1">
      <c r="A1" s="39" t="s">
        <v>2</v>
      </c>
      <c r="B1" s="40" t="s">
        <v>362</v>
      </c>
      <c r="C1" s="39" t="s">
        <v>363</v>
      </c>
      <c r="D1" s="41" t="s">
        <v>364</v>
      </c>
      <c r="E1" s="42" t="s">
        <v>365</v>
      </c>
      <c r="F1" s="43" t="s">
        <v>366</v>
      </c>
    </row>
    <row r="2" ht="39.0" customHeight="1">
      <c r="A2" s="44" t="str">
        <f t="array" ref="A2:A261">UNIQUE('Japan 2'!C2:C748)</f>
        <v>birken boston mocha 42</v>
      </c>
      <c r="B2" s="45"/>
      <c r="C2" s="46">
        <f>SUMIF('Japan 2'!C2:C748,A2,'Japan 2'!D2:D748)</f>
        <v>0</v>
      </c>
      <c r="D2" s="47">
        <v>5690.0</v>
      </c>
      <c r="E2" s="48"/>
      <c r="F2" s="49">
        <v>0.0</v>
      </c>
    </row>
    <row r="3" ht="40.5" customHeight="1">
      <c r="A3" s="50" t="s">
        <v>9</v>
      </c>
      <c r="B3" s="45"/>
      <c r="C3" s="46">
        <f>SUMIF('Japan 2'!C3:C748,A3,'Japan 2'!D3:D748)</f>
        <v>5</v>
      </c>
      <c r="D3" s="47">
        <v>219.0</v>
      </c>
      <c r="E3" s="48"/>
      <c r="F3" s="49">
        <v>0.0</v>
      </c>
    </row>
    <row r="4" ht="33.0" customHeight="1">
      <c r="A4" s="51" t="s">
        <v>10</v>
      </c>
      <c r="B4" s="45"/>
      <c r="C4" s="46">
        <f>SUMIF('Japan 2'!C4:C748,A4,'Japan 2'!D4:D748)</f>
        <v>1</v>
      </c>
      <c r="D4" s="47">
        <v>175.0</v>
      </c>
      <c r="E4" s="48"/>
      <c r="F4" s="49">
        <v>0.0</v>
      </c>
    </row>
    <row r="5" ht="36.75" customHeight="1">
      <c r="A5" s="51" t="s">
        <v>12</v>
      </c>
      <c r="B5" s="45"/>
      <c r="C5" s="46">
        <f>SUMIF('Japan 2'!C5:C749,A5,'Japan 2'!D5:D749)</f>
        <v>8</v>
      </c>
      <c r="D5" s="47">
        <v>275.0</v>
      </c>
      <c r="E5" s="48"/>
      <c r="F5" s="49">
        <v>0.0</v>
      </c>
    </row>
    <row r="6" ht="34.5" customHeight="1">
      <c r="A6" s="52" t="s">
        <v>14</v>
      </c>
      <c r="B6" s="45"/>
      <c r="C6" s="46">
        <f>SUMIF('Japan 2'!C6:C748,A6,'Japan 2'!D6:D748)</f>
        <v>3</v>
      </c>
      <c r="D6" s="47">
        <v>7490.0</v>
      </c>
      <c r="E6" s="48">
        <v>3.0</v>
      </c>
      <c r="F6" s="49">
        <v>0.0</v>
      </c>
    </row>
    <row r="7" ht="26.25" customHeight="1">
      <c r="A7" s="51" t="s">
        <v>16</v>
      </c>
      <c r="B7" s="45"/>
      <c r="C7" s="46">
        <f>SUMIF('Japan 2'!C7:C748,A7,'Japan 2'!D7:D748)</f>
        <v>1</v>
      </c>
      <c r="D7" s="47">
        <v>259.0</v>
      </c>
      <c r="E7" s="48"/>
      <c r="F7" s="49">
        <v>0.0</v>
      </c>
    </row>
    <row r="8" ht="28.5" customHeight="1">
      <c r="A8" s="53" t="s">
        <v>19</v>
      </c>
      <c r="B8" s="45"/>
      <c r="C8" s="46">
        <f>SUMIF('Japan 2'!C8:C748,A8,'Japan 2'!D8:D748)</f>
        <v>2</v>
      </c>
      <c r="D8" s="47">
        <v>199.0</v>
      </c>
      <c r="E8" s="48"/>
      <c r="F8" s="49">
        <v>0.0</v>
      </c>
    </row>
    <row r="9" ht="33.0" customHeight="1">
      <c r="A9" s="51" t="s">
        <v>20</v>
      </c>
      <c r="B9" s="45"/>
      <c r="C9" s="46">
        <f>SUMIF('Japan 2'!C9:C748,A9,'Japan 2'!D9:D748)</f>
        <v>3</v>
      </c>
      <c r="D9" s="47">
        <v>195.0</v>
      </c>
      <c r="E9" s="48"/>
      <c r="F9" s="49">
        <v>0.0</v>
      </c>
    </row>
    <row r="10" ht="28.5" customHeight="1">
      <c r="A10" s="54" t="s">
        <v>21</v>
      </c>
      <c r="B10" s="45"/>
      <c r="C10" s="46">
        <f>SUMIF('Japan 2'!C10:C748,A10,'Japan 2'!D10:D748)</f>
        <v>17</v>
      </c>
      <c r="D10" s="47">
        <v>85.0</v>
      </c>
      <c r="E10" s="48"/>
      <c r="F10" s="49">
        <v>0.0</v>
      </c>
    </row>
    <row r="11" ht="33.0" customHeight="1">
      <c r="A11" s="50" t="s">
        <v>22</v>
      </c>
      <c r="B11" s="45"/>
      <c r="C11" s="46">
        <f>SUMIF('Japan 2'!C11:C748,A11,'Japan 2'!D11:D748)</f>
        <v>2</v>
      </c>
      <c r="D11" s="47">
        <v>65.0</v>
      </c>
      <c r="E11" s="48"/>
      <c r="F11" s="49">
        <v>0.0</v>
      </c>
    </row>
    <row r="12" ht="38.25" customHeight="1">
      <c r="A12" s="44" t="s">
        <v>25</v>
      </c>
      <c r="B12" s="45"/>
      <c r="C12" s="46">
        <f>SUMIF('Japan 2'!C12:C748,A12,'Japan 2'!D12:D748)</f>
        <v>0</v>
      </c>
      <c r="D12" s="47">
        <v>2190.0</v>
      </c>
      <c r="E12" s="48"/>
      <c r="F12" s="49">
        <v>0.0</v>
      </c>
    </row>
    <row r="13" ht="33.75" customHeight="1">
      <c r="A13" s="44" t="s">
        <v>27</v>
      </c>
      <c r="B13" s="4"/>
      <c r="C13" s="46">
        <f>SUMIF('Japan 2'!C13:C748,A13,'Japan 2'!D13:D748)</f>
        <v>0</v>
      </c>
      <c r="D13" s="47">
        <v>1150.0</v>
      </c>
      <c r="E13" s="48"/>
      <c r="F13" s="49">
        <v>0.0</v>
      </c>
    </row>
    <row r="14" ht="32.25" customHeight="1">
      <c r="A14" s="51" t="s">
        <v>29</v>
      </c>
      <c r="B14" s="45"/>
      <c r="C14" s="46">
        <f>SUMIF('Japan 2'!C14:C748,A14,'Japan 2'!D14:D748)</f>
        <v>1</v>
      </c>
      <c r="D14" s="47">
        <v>195.0</v>
      </c>
      <c r="E14" s="48"/>
      <c r="F14" s="49">
        <v>0.0</v>
      </c>
    </row>
    <row r="15" ht="30.75" customHeight="1">
      <c r="A15" s="44" t="s">
        <v>31</v>
      </c>
      <c r="B15" s="45"/>
      <c r="C15" s="46">
        <f>SUMIF('Japan 2'!C15:C748,A15,'Japan 2'!D15:D748)</f>
        <v>30</v>
      </c>
      <c r="D15" s="47">
        <v>49.0</v>
      </c>
      <c r="E15" s="48"/>
      <c r="F15" s="49">
        <v>0.0</v>
      </c>
    </row>
    <row r="16" ht="30.75" customHeight="1">
      <c r="A16" s="52" t="s">
        <v>32</v>
      </c>
      <c r="B16" s="45"/>
      <c r="C16" s="46">
        <f>SUMIF('Japan 2'!C16:C748,A16,'Japan 2'!D16:D748)</f>
        <v>3</v>
      </c>
      <c r="D16" s="47">
        <v>159.0</v>
      </c>
      <c r="E16" s="48">
        <v>3.0</v>
      </c>
      <c r="F16" s="49">
        <v>0.0</v>
      </c>
    </row>
    <row r="17" ht="33.75" customHeight="1">
      <c r="A17" s="44" t="s">
        <v>33</v>
      </c>
      <c r="B17" s="45"/>
      <c r="C17" s="46">
        <f>SUMIF('Japan 2'!C17:C748,A17,'Japan 2'!D17:D748)</f>
        <v>3</v>
      </c>
      <c r="D17" s="47">
        <v>349.0</v>
      </c>
      <c r="E17" s="48"/>
      <c r="F17" s="49">
        <v>0.0</v>
      </c>
    </row>
    <row r="18" ht="29.25" customHeight="1">
      <c r="A18" s="44" t="s">
        <v>34</v>
      </c>
      <c r="B18" s="45"/>
      <c r="C18" s="46">
        <f>SUMIF('Japan 2'!C18:C748,A18,'Japan 2'!D18:D748)</f>
        <v>2</v>
      </c>
      <c r="D18" s="47">
        <v>339.0</v>
      </c>
      <c r="E18" s="48"/>
      <c r="F18" s="49">
        <v>0.0</v>
      </c>
    </row>
    <row r="19" ht="39.0" customHeight="1">
      <c r="A19" s="44" t="s">
        <v>35</v>
      </c>
      <c r="B19" s="45"/>
      <c r="C19" s="46">
        <f>SUMIF('Japan 2'!C19:C748,A19,'Japan 2'!D19:D748)</f>
        <v>1</v>
      </c>
      <c r="D19" s="47">
        <v>279.0</v>
      </c>
      <c r="E19" s="48"/>
      <c r="F19" s="49">
        <v>0.0</v>
      </c>
    </row>
    <row r="20" ht="32.25" customHeight="1">
      <c r="A20" s="51" t="s">
        <v>36</v>
      </c>
      <c r="B20" s="45"/>
      <c r="C20" s="46">
        <f>SUMIF('Japan 2'!C20:C748,A20,'Japan 2'!D20:D748)</f>
        <v>2</v>
      </c>
      <c r="D20" s="47">
        <v>275.0</v>
      </c>
      <c r="E20" s="48"/>
      <c r="F20" s="49">
        <v>0.0</v>
      </c>
    </row>
    <row r="21" ht="28.5" customHeight="1">
      <c r="A21" s="51" t="s">
        <v>38</v>
      </c>
      <c r="B21" s="45"/>
      <c r="C21" s="46">
        <f>SUMIF('Japan 2'!C21:C748,A21,'Japan 2'!D21:D748)</f>
        <v>3</v>
      </c>
      <c r="D21" s="47">
        <v>305.0</v>
      </c>
      <c r="E21" s="48"/>
      <c r="F21" s="49">
        <v>0.0</v>
      </c>
    </row>
    <row r="22" ht="32.25" customHeight="1">
      <c r="A22" s="53" t="s">
        <v>40</v>
      </c>
      <c r="B22" s="45"/>
      <c r="C22" s="46">
        <f>SUMIF('Japan 2'!C22:C748,A22,'Japan 2'!D22:D748)</f>
        <v>2</v>
      </c>
      <c r="D22" s="47">
        <v>239.0</v>
      </c>
      <c r="E22" s="48"/>
      <c r="F22" s="49">
        <v>0.0</v>
      </c>
    </row>
    <row r="23" ht="37.5" customHeight="1">
      <c r="A23" s="53" t="s">
        <v>41</v>
      </c>
      <c r="B23" s="45"/>
      <c r="C23" s="46">
        <f>SUMIF('Japan 2'!C23:C748,A23,'Japan 2'!D23:D748)</f>
        <v>3</v>
      </c>
      <c r="D23" s="47">
        <v>179.0</v>
      </c>
      <c r="E23" s="55"/>
      <c r="F23" s="49">
        <v>0.0</v>
      </c>
    </row>
    <row r="24" ht="39.75" customHeight="1">
      <c r="A24" s="53" t="s">
        <v>42</v>
      </c>
      <c r="B24" s="45"/>
      <c r="C24" s="46">
        <f>SUMIF('Japan 2'!C23:C748,A24,'Japan 2'!D23:D748)</f>
        <v>1</v>
      </c>
      <c r="D24" s="47">
        <v>190.0</v>
      </c>
      <c r="E24" s="55"/>
      <c r="F24" s="49">
        <v>0.0</v>
      </c>
    </row>
    <row r="25" ht="24.0" customHeight="1">
      <c r="A25" s="53" t="s">
        <v>43</v>
      </c>
      <c r="B25" s="45"/>
      <c r="C25" s="46">
        <f>SUMIF('Japan 2'!C24:C748,A25,'Japan 2'!D24:D748)</f>
        <v>1</v>
      </c>
      <c r="D25" s="47">
        <v>179.0</v>
      </c>
      <c r="E25" s="48"/>
      <c r="F25" s="49">
        <v>0.0</v>
      </c>
    </row>
    <row r="26" ht="30.75" customHeight="1">
      <c r="A26" s="51" t="s">
        <v>45</v>
      </c>
      <c r="B26" s="45"/>
      <c r="C26" s="46">
        <f>SUMIF('Japan 2'!C25:C748,A26,'Japan 2'!D25:D748)</f>
        <v>1</v>
      </c>
      <c r="D26" s="47">
        <v>849.0</v>
      </c>
      <c r="E26" s="48"/>
      <c r="F26" s="49">
        <v>0.0</v>
      </c>
    </row>
    <row r="27" ht="19.5" customHeight="1">
      <c r="A27" s="51" t="s">
        <v>46</v>
      </c>
      <c r="B27" s="45"/>
      <c r="C27" s="46">
        <f>SUMIF('Japan 2'!C26:C748,A27,'Japan 2'!D26:D748)</f>
        <v>1</v>
      </c>
      <c r="D27" s="47">
        <v>429.0</v>
      </c>
      <c r="E27" s="48"/>
      <c r="F27" s="49">
        <v>0.0</v>
      </c>
    </row>
    <row r="28" ht="30.0" customHeight="1">
      <c r="A28" s="51" t="s">
        <v>47</v>
      </c>
      <c r="B28" s="45"/>
      <c r="C28" s="46">
        <f>SUMIF('Japan 2'!C27:C748,A28,'Japan 2'!D27:D748)</f>
        <v>1</v>
      </c>
      <c r="D28" s="47">
        <v>849.0</v>
      </c>
      <c r="E28" s="48"/>
      <c r="F28" s="49">
        <v>0.0</v>
      </c>
    </row>
    <row r="29" ht="23.25" customHeight="1">
      <c r="A29" s="51" t="s">
        <v>48</v>
      </c>
      <c r="B29" s="45"/>
      <c r="C29" s="46">
        <f>SUMIF('Japan 2'!C28:C748,A29,'Japan 2'!D28:D748)</f>
        <v>1</v>
      </c>
      <c r="D29" s="47">
        <v>179.0</v>
      </c>
      <c r="E29" s="48"/>
      <c r="F29" s="49">
        <v>0.0</v>
      </c>
    </row>
    <row r="30" ht="22.5" customHeight="1">
      <c r="A30" s="51" t="s">
        <v>50</v>
      </c>
      <c r="B30" s="45"/>
      <c r="C30" s="46">
        <f>SUMIF('Japan 2'!C28:C748,A30,'Japan 2'!D28:D748)</f>
        <v>1</v>
      </c>
      <c r="D30" s="47">
        <v>179.0</v>
      </c>
      <c r="E30" s="48"/>
      <c r="F30" s="49">
        <v>0.0</v>
      </c>
    </row>
    <row r="31" ht="34.5" customHeight="1">
      <c r="A31" s="52" t="s">
        <v>51</v>
      </c>
      <c r="B31" s="45"/>
      <c r="C31" s="46">
        <f>SUMIF('Japan 2'!C30:C748,A31,'Japan 2'!D30:D748)</f>
        <v>2</v>
      </c>
      <c r="D31" s="47">
        <v>99.0</v>
      </c>
      <c r="E31" s="48"/>
      <c r="F31" s="49">
        <v>0.0</v>
      </c>
    </row>
    <row r="32" ht="25.5" customHeight="1">
      <c r="A32" s="51" t="s">
        <v>53</v>
      </c>
      <c r="B32" s="45"/>
      <c r="C32" s="46">
        <f>SUMIF('Japan 2'!C31:C748,A32,'Japan 2'!D31:D748)</f>
        <v>1</v>
      </c>
      <c r="D32" s="47">
        <v>209.0</v>
      </c>
      <c r="E32" s="48"/>
      <c r="F32" s="49">
        <v>0.0</v>
      </c>
    </row>
    <row r="33" ht="38.25" customHeight="1">
      <c r="A33" s="51" t="s">
        <v>54</v>
      </c>
      <c r="B33" s="45"/>
      <c r="C33" s="46">
        <f>SUMIF('Japan 2'!C32:C748,A33,'Japan 2'!D32:D748)</f>
        <v>1</v>
      </c>
      <c r="D33" s="47">
        <v>209.0</v>
      </c>
      <c r="E33" s="48"/>
      <c r="F33" s="49">
        <v>0.0</v>
      </c>
    </row>
    <row r="34" ht="20.25" customHeight="1">
      <c r="A34" s="44" t="s">
        <v>56</v>
      </c>
      <c r="B34" s="45"/>
      <c r="C34" s="46">
        <f>SUMIF('Japan 2'!C33:C748,A34,'Japan 2'!D33:D748)</f>
        <v>1</v>
      </c>
      <c r="D34" s="47"/>
      <c r="E34" s="48"/>
      <c r="F34" s="49">
        <v>0.0</v>
      </c>
    </row>
    <row r="35" ht="21.0" customHeight="1">
      <c r="A35" s="51" t="s">
        <v>58</v>
      </c>
      <c r="B35" s="45"/>
      <c r="C35" s="46">
        <f>SUMIF('Japan 2'!C34:C748,A35,'Japan 2'!D34:D748)</f>
        <v>1</v>
      </c>
      <c r="D35" s="47">
        <v>289.0</v>
      </c>
      <c r="E35" s="48"/>
      <c r="F35" s="49">
        <v>0.0</v>
      </c>
    </row>
    <row r="36" ht="24.0" customHeight="1">
      <c r="A36" s="51" t="s">
        <v>59</v>
      </c>
      <c r="B36" s="45"/>
      <c r="C36" s="46">
        <f>SUMIF('Japan 2'!C35:C748,A36,'Japan 2'!D35:D748)</f>
        <v>1</v>
      </c>
      <c r="D36" s="47">
        <v>279.0</v>
      </c>
      <c r="E36" s="48"/>
      <c r="F36" s="49">
        <v>0.0</v>
      </c>
    </row>
    <row r="37" ht="45.0" customHeight="1">
      <c r="A37" s="51" t="s">
        <v>61</v>
      </c>
      <c r="B37" s="45"/>
      <c r="C37" s="46">
        <f>SUMIF('Japan 2'!C36:C748,A37,'Japan 2'!D36:D748)</f>
        <v>2</v>
      </c>
      <c r="D37" s="47">
        <v>799.0</v>
      </c>
      <c r="E37" s="48"/>
      <c r="F37" s="49">
        <v>0.0</v>
      </c>
    </row>
    <row r="38" ht="36.0" customHeight="1">
      <c r="A38" s="52" t="s">
        <v>62</v>
      </c>
      <c r="B38" s="45"/>
      <c r="C38" s="46">
        <f>SUMIF('Japan 2'!C37:C748,A38,'Japan 2'!D37:D748)</f>
        <v>1</v>
      </c>
      <c r="D38" s="47">
        <v>1650.0</v>
      </c>
      <c r="E38" s="48">
        <v>1.0</v>
      </c>
      <c r="F38" s="49">
        <v>0.0</v>
      </c>
    </row>
    <row r="39" ht="42.75" customHeight="1">
      <c r="A39" s="56" t="s">
        <v>63</v>
      </c>
      <c r="B39" s="45"/>
      <c r="C39" s="46">
        <f>SUMIF('Japan 2'!C38:C748,A39,'Japan 2'!D38:D748)</f>
        <v>10</v>
      </c>
      <c r="D39" s="47">
        <v>85.0</v>
      </c>
      <c r="E39" s="48"/>
      <c r="F39" s="49">
        <v>0.0</v>
      </c>
    </row>
    <row r="40" ht="30.0" customHeight="1">
      <c r="A40" s="57" t="s">
        <v>64</v>
      </c>
      <c r="B40" s="45"/>
      <c r="C40" s="46">
        <f>SUMIF('Japan 2'!C39:C748,A40,'Japan 2'!D39:D748)</f>
        <v>5</v>
      </c>
      <c r="D40" s="47">
        <v>249.0</v>
      </c>
      <c r="E40" s="48"/>
      <c r="F40" s="49">
        <v>0.0</v>
      </c>
    </row>
    <row r="41" ht="34.5" customHeight="1">
      <c r="A41" s="58" t="s">
        <v>66</v>
      </c>
      <c r="B41" s="45"/>
      <c r="C41" s="46">
        <f>SUMIF('Japan 2'!C40:C749,A41,'Japan 2'!D40:D749)</f>
        <v>1</v>
      </c>
      <c r="D41" s="47">
        <v>259.0</v>
      </c>
      <c r="E41" s="47"/>
      <c r="F41" s="49">
        <v>0.0</v>
      </c>
    </row>
    <row r="42" ht="30.0" customHeight="1">
      <c r="A42" s="59" t="s">
        <v>69</v>
      </c>
      <c r="B42" s="45"/>
      <c r="C42" s="46">
        <f>SUMIF('Japan 2'!C41:C750,A42,'Japan 2'!D41:D750)</f>
        <v>1</v>
      </c>
      <c r="D42" s="47">
        <v>1650.0</v>
      </c>
      <c r="E42" s="48">
        <v>1.0</v>
      </c>
      <c r="F42" s="49">
        <v>0.0</v>
      </c>
    </row>
    <row r="43" ht="29.25" customHeight="1">
      <c r="A43" s="51" t="s">
        <v>71</v>
      </c>
      <c r="B43" s="45"/>
      <c r="C43" s="46">
        <f>SUMIF('Japan 2'!C42:C751,A43,'Japan 2'!D42:D751)</f>
        <v>1</v>
      </c>
      <c r="D43" s="47">
        <v>209.0</v>
      </c>
      <c r="E43" s="48"/>
      <c r="F43" s="49">
        <v>0.0</v>
      </c>
    </row>
    <row r="44" ht="49.5" customHeight="1">
      <c r="A44" s="51" t="s">
        <v>72</v>
      </c>
      <c r="B44" s="45"/>
      <c r="C44" s="46">
        <f>SUMIF('Japan 2'!C43:C752,A44,'Japan 2'!D43:D752)</f>
        <v>1</v>
      </c>
      <c r="D44" s="47">
        <v>159.0</v>
      </c>
      <c r="E44" s="48"/>
      <c r="F44" s="49">
        <v>0.0</v>
      </c>
    </row>
    <row r="45" ht="39.75" customHeight="1">
      <c r="A45" s="53" t="s">
        <v>73</v>
      </c>
      <c r="B45" s="45"/>
      <c r="C45" s="46">
        <f>SUMIF('Japan 2'!C44:C753,A45,'Japan 2'!D44:D753)</f>
        <v>1</v>
      </c>
      <c r="D45" s="47">
        <v>269.0</v>
      </c>
      <c r="E45" s="48"/>
      <c r="F45" s="49">
        <v>0.0</v>
      </c>
    </row>
    <row r="46" ht="35.25" customHeight="1">
      <c r="A46" s="54" t="s">
        <v>75</v>
      </c>
      <c r="B46" s="45"/>
      <c r="C46" s="46">
        <f>SUMIF('Japan 2'!C45:C754,A46,'Japan 2'!D45:D754)</f>
        <v>7</v>
      </c>
      <c r="D46" s="47">
        <v>50.0</v>
      </c>
      <c r="E46" s="48"/>
      <c r="F46" s="49">
        <v>0.0</v>
      </c>
    </row>
    <row r="47" ht="45.75" customHeight="1">
      <c r="A47" s="53" t="s">
        <v>76</v>
      </c>
      <c r="B47" s="45"/>
      <c r="C47" s="46">
        <f>SUMIF('Japan 2'!C46:C755,A47,'Japan 2'!D46:D755)</f>
        <v>1</v>
      </c>
      <c r="D47" s="47">
        <v>199.0</v>
      </c>
      <c r="E47" s="48"/>
      <c r="F47" s="49">
        <v>0.0</v>
      </c>
    </row>
    <row r="48" ht="35.25" customHeight="1">
      <c r="A48" s="53" t="s">
        <v>77</v>
      </c>
      <c r="B48" s="45"/>
      <c r="C48" s="46">
        <f>SUMIF('Japan 2'!C47:C756,A48,'Japan 2'!D47:D756)</f>
        <v>1</v>
      </c>
      <c r="D48" s="47">
        <v>159.0</v>
      </c>
      <c r="E48" s="48"/>
      <c r="F48" s="49">
        <v>0.0</v>
      </c>
    </row>
    <row r="49" ht="25.5" customHeight="1">
      <c r="A49" s="53" t="s">
        <v>78</v>
      </c>
      <c r="B49" s="45"/>
      <c r="C49" s="46">
        <f>SUMIF('Japan 2'!C48:C757,A49,'Japan 2'!D48:D757)</f>
        <v>1</v>
      </c>
      <c r="D49" s="47">
        <v>159.0</v>
      </c>
      <c r="E49" s="48"/>
      <c r="F49" s="49">
        <v>0.0</v>
      </c>
    </row>
    <row r="50" ht="35.25" customHeight="1">
      <c r="A50" s="51" t="s">
        <v>80</v>
      </c>
      <c r="B50" s="45"/>
      <c r="C50" s="46">
        <f>SUMIF('Japan 2'!C49:C748,A50,'Japan 2'!D49:D748)</f>
        <v>1</v>
      </c>
      <c r="D50" s="47">
        <v>295.0</v>
      </c>
      <c r="E50" s="48"/>
      <c r="F50" s="49">
        <v>0.0</v>
      </c>
    </row>
    <row r="51" ht="31.5" customHeight="1">
      <c r="A51" s="51" t="s">
        <v>81</v>
      </c>
      <c r="B51" s="45"/>
      <c r="C51" s="46">
        <f>SUMIF('Japan 2'!C50:C748,A51,'Japan 2'!D50:D748)</f>
        <v>1</v>
      </c>
      <c r="D51" s="47">
        <v>209.0</v>
      </c>
      <c r="E51" s="48"/>
      <c r="F51" s="49">
        <v>0.0</v>
      </c>
    </row>
    <row r="52" ht="26.25" customHeight="1">
      <c r="A52" s="51" t="s">
        <v>82</v>
      </c>
      <c r="B52" s="45"/>
      <c r="C52" s="46">
        <f>SUMIF('Japan 2'!C51:C748,A52,'Japan 2'!D51:D748)</f>
        <v>4</v>
      </c>
      <c r="D52" s="10">
        <v>579.0</v>
      </c>
      <c r="E52" s="48"/>
      <c r="F52" s="49">
        <v>0.0</v>
      </c>
    </row>
    <row r="53" ht="37.5" customHeight="1">
      <c r="A53" s="52" t="s">
        <v>84</v>
      </c>
      <c r="B53" s="45"/>
      <c r="C53" s="46">
        <f>SUMIF('Japan 2'!C52:C748,A53,'Japan 2'!D52:D748)</f>
        <v>1</v>
      </c>
      <c r="D53" s="10">
        <v>7490.0</v>
      </c>
      <c r="E53" s="48">
        <v>1.0</v>
      </c>
      <c r="F53" s="49">
        <v>0.0</v>
      </c>
    </row>
    <row r="54" ht="30.75" customHeight="1">
      <c r="A54" s="53" t="s">
        <v>86</v>
      </c>
      <c r="B54" s="45"/>
      <c r="C54" s="46">
        <f>SUMIF('Japan 2'!C53:C748,A54,'Japan 2'!D53:D748)</f>
        <v>1</v>
      </c>
      <c r="D54" s="10">
        <v>199.0</v>
      </c>
      <c r="E54" s="48"/>
      <c r="F54" s="49">
        <v>0.0</v>
      </c>
    </row>
    <row r="55" ht="30.0" customHeight="1">
      <c r="A55" s="53" t="s">
        <v>87</v>
      </c>
      <c r="B55" s="45"/>
      <c r="C55" s="46">
        <f>SUMIF('Japan 2'!C54:C748,A55,'Japan 2'!D54:D748)</f>
        <v>1</v>
      </c>
      <c r="D55" s="10">
        <v>129.0</v>
      </c>
      <c r="E55" s="48"/>
      <c r="F55" s="49">
        <v>0.0</v>
      </c>
    </row>
    <row r="56" ht="35.25" customHeight="1">
      <c r="A56" s="53" t="s">
        <v>88</v>
      </c>
      <c r="B56" s="45"/>
      <c r="C56" s="46">
        <f>SUMIF('Japan 2'!C54:C748,A56,'Japan 2'!D54:D748)</f>
        <v>2</v>
      </c>
      <c r="D56" s="47">
        <v>49.0</v>
      </c>
      <c r="E56" s="48"/>
      <c r="F56" s="49">
        <v>0.0</v>
      </c>
    </row>
    <row r="57" ht="36.0" customHeight="1">
      <c r="A57" s="51" t="s">
        <v>90</v>
      </c>
      <c r="B57" s="45"/>
      <c r="C57" s="46">
        <f>SUMIF('Japan 2'!C55:C748,A57,'Japan 2'!D55:D748)</f>
        <v>5</v>
      </c>
      <c r="D57" s="47">
        <v>299.0</v>
      </c>
      <c r="E57" s="48"/>
      <c r="F57" s="49">
        <v>0.0</v>
      </c>
    </row>
    <row r="58" ht="27.75" customHeight="1">
      <c r="A58" s="51" t="s">
        <v>93</v>
      </c>
      <c r="B58" s="45"/>
      <c r="C58" s="46">
        <f>SUMIF('Japan 2'!C56:C748,A58,'Japan 2'!D56:D748)</f>
        <v>1</v>
      </c>
      <c r="D58" s="47">
        <v>679.0</v>
      </c>
      <c r="E58" s="48"/>
      <c r="F58" s="49">
        <v>0.0</v>
      </c>
    </row>
    <row r="59" ht="27.0" customHeight="1">
      <c r="A59" s="53" t="s">
        <v>95</v>
      </c>
      <c r="B59" s="45"/>
      <c r="C59" s="46">
        <f>SUMIF('Japan 2'!C57:C748,A59,'Japan 2'!D57:D748)</f>
        <v>1</v>
      </c>
      <c r="D59" s="60">
        <v>579.0</v>
      </c>
      <c r="E59" s="48"/>
      <c r="F59" s="49">
        <v>0.0</v>
      </c>
    </row>
    <row r="60" ht="45.75" customHeight="1">
      <c r="A60" s="53" t="s">
        <v>97</v>
      </c>
      <c r="B60" s="45"/>
      <c r="C60" s="46">
        <f>SUMIF('Japan 2'!C58:C748,A60,'Japan 2'!D58:D748)</f>
        <v>2</v>
      </c>
      <c r="D60" s="47">
        <v>219.0</v>
      </c>
      <c r="E60" s="48"/>
      <c r="F60" s="49">
        <v>0.0</v>
      </c>
    </row>
    <row r="61" ht="30.75" customHeight="1">
      <c r="A61" s="53" t="s">
        <v>98</v>
      </c>
      <c r="B61" s="45"/>
      <c r="C61" s="46">
        <f>SUMIF('Japan 2'!C59:C748,A61,'Japan 2'!D59:D748)</f>
        <v>1</v>
      </c>
      <c r="D61" s="47">
        <v>219.0</v>
      </c>
      <c r="E61" s="48"/>
      <c r="F61" s="49">
        <v>0.0</v>
      </c>
    </row>
    <row r="62" ht="36.0" customHeight="1">
      <c r="A62" s="53" t="s">
        <v>99</v>
      </c>
      <c r="B62" s="45"/>
      <c r="C62" s="46">
        <f>SUMIF('Japan 2'!C60:C748,A62,'Japan 2'!D60:D748)</f>
        <v>5</v>
      </c>
      <c r="D62" s="47">
        <v>79.0</v>
      </c>
      <c r="E62" s="55"/>
      <c r="F62" s="49">
        <v>0.0</v>
      </c>
    </row>
    <row r="63" ht="31.5" customHeight="1">
      <c r="A63" s="51" t="s">
        <v>101</v>
      </c>
      <c r="B63" s="45"/>
      <c r="C63" s="46">
        <f>SUMIF('Japan 2'!C61:C748,A63,'Japan 2'!D61:D748)</f>
        <v>1</v>
      </c>
      <c r="D63" s="47">
        <v>2390.0</v>
      </c>
      <c r="E63" s="48"/>
      <c r="F63" s="49">
        <v>0.0</v>
      </c>
    </row>
    <row r="64" ht="22.5" customHeight="1">
      <c r="A64" s="51" t="s">
        <v>102</v>
      </c>
      <c r="B64" s="45"/>
      <c r="C64" s="46">
        <f>SUMIF('Japan 2'!C62:C748,A64,'Japan 2'!D62:D748)</f>
        <v>1</v>
      </c>
      <c r="D64" s="47">
        <v>1999.0</v>
      </c>
      <c r="E64" s="48"/>
      <c r="F64" s="49">
        <v>0.0</v>
      </c>
    </row>
    <row r="65" ht="30.75" customHeight="1">
      <c r="A65" s="51" t="s">
        <v>103</v>
      </c>
      <c r="B65" s="45"/>
      <c r="C65" s="46">
        <f>SUMIF('Japan 2'!C63:C748,A65,'Japan 2'!D63:D748)</f>
        <v>1</v>
      </c>
      <c r="D65" s="47">
        <v>799.0</v>
      </c>
      <c r="E65" s="48"/>
      <c r="F65" s="49">
        <v>0.0</v>
      </c>
    </row>
    <row r="66" ht="26.25" customHeight="1">
      <c r="A66" s="51" t="s">
        <v>104</v>
      </c>
      <c r="B66" s="45"/>
      <c r="C66" s="46">
        <f>SUMIF('Japan 2'!C64:C748,A66,'Japan 2'!D64:D748)</f>
        <v>1</v>
      </c>
      <c r="D66" s="47">
        <v>1249.0</v>
      </c>
      <c r="E66" s="48"/>
      <c r="F66" s="49">
        <v>0.0</v>
      </c>
    </row>
    <row r="67" ht="21.0" customHeight="1">
      <c r="A67" s="51" t="s">
        <v>105</v>
      </c>
      <c r="B67" s="45"/>
      <c r="C67" s="46">
        <f>SUMIF('Japan 2'!C65:C748,A67,'Japan 2'!D65:D748)</f>
        <v>1</v>
      </c>
      <c r="D67" s="47">
        <v>219.0</v>
      </c>
      <c r="E67" s="55"/>
      <c r="F67" s="49">
        <v>0.0</v>
      </c>
    </row>
    <row r="68" ht="30.0" customHeight="1">
      <c r="A68" s="53" t="s">
        <v>106</v>
      </c>
      <c r="B68" s="45"/>
      <c r="C68" s="46">
        <f>SUMIF('Japan 2'!C66:C748,A68,'Japan 2'!D66:D748)</f>
        <v>2</v>
      </c>
      <c r="D68" s="47">
        <v>329.0</v>
      </c>
      <c r="E68" s="48"/>
      <c r="F68" s="49">
        <v>0.0</v>
      </c>
    </row>
    <row r="69" ht="18.0" customHeight="1">
      <c r="A69" s="53" t="s">
        <v>107</v>
      </c>
      <c r="B69" s="45"/>
      <c r="C69" s="46">
        <f>SUMIF('Japan 2'!C67:C748,A69,'Japan 2'!D67:D748)</f>
        <v>2</v>
      </c>
      <c r="D69" s="47">
        <v>239.0</v>
      </c>
      <c r="E69" s="48"/>
      <c r="F69" s="49">
        <v>0.0</v>
      </c>
    </row>
    <row r="70" ht="27.75" customHeight="1">
      <c r="A70" s="50" t="s">
        <v>109</v>
      </c>
      <c r="B70" s="45"/>
      <c r="C70" s="46">
        <f>SUMIF('Japan 2'!C68:C748,A70,'Japan 2'!D68:D748)</f>
        <v>2</v>
      </c>
      <c r="D70" s="47">
        <v>259.0</v>
      </c>
      <c r="E70" s="48"/>
      <c r="F70" s="49">
        <v>0.0</v>
      </c>
    </row>
    <row r="71" ht="23.25" customHeight="1">
      <c r="A71" s="50" t="s">
        <v>110</v>
      </c>
      <c r="B71" s="45"/>
      <c r="C71" s="46">
        <f>SUMIF('Japan 2'!C69:C748,A71,'Japan 2'!D69:D748)</f>
        <v>1</v>
      </c>
      <c r="D71" s="47">
        <v>259.0</v>
      </c>
      <c r="E71" s="48"/>
      <c r="F71" s="49">
        <v>0.0</v>
      </c>
    </row>
    <row r="72" ht="21.0" customHeight="1">
      <c r="A72" s="50" t="s">
        <v>111</v>
      </c>
      <c r="B72" s="45"/>
      <c r="C72" s="46">
        <f>SUMIF('Japan 2'!C70:C748,A72,'Japan 2'!D70:D748)</f>
        <v>2</v>
      </c>
      <c r="D72" s="47">
        <v>99.0</v>
      </c>
      <c r="E72" s="61"/>
      <c r="F72" s="49">
        <v>0.0</v>
      </c>
    </row>
    <row r="73">
      <c r="A73" s="51" t="s">
        <v>112</v>
      </c>
      <c r="B73" s="45"/>
      <c r="C73" s="46">
        <f>SUMIF('Japan 2'!C72:C749,A73,'Japan 2'!D72:D749)</f>
        <v>3</v>
      </c>
      <c r="D73" s="47">
        <v>235.0</v>
      </c>
      <c r="E73" s="61"/>
      <c r="F73" s="49">
        <v>0.0</v>
      </c>
    </row>
    <row r="74">
      <c r="A74" s="51" t="s">
        <v>113</v>
      </c>
      <c r="B74" s="45"/>
      <c r="C74" s="46">
        <f>SUMIF('Japan 2'!C73:C750,A74,'Japan 2'!D73:D750)</f>
        <v>1</v>
      </c>
      <c r="D74" s="47">
        <v>179.0</v>
      </c>
      <c r="E74" s="61"/>
      <c r="F74" s="49">
        <v>0.0</v>
      </c>
    </row>
    <row r="75">
      <c r="A75" s="51" t="s">
        <v>114</v>
      </c>
      <c r="B75" s="45"/>
      <c r="C75" s="46">
        <f>SUMIF('Japan 2'!C74:C751,A75,'Japan 2'!D74:D751)</f>
        <v>1</v>
      </c>
      <c r="D75" s="47">
        <v>179.0</v>
      </c>
      <c r="E75" s="61"/>
      <c r="F75" s="49">
        <v>0.0</v>
      </c>
    </row>
    <row r="76">
      <c r="A76" s="51" t="s">
        <v>115</v>
      </c>
      <c r="B76" s="45"/>
      <c r="C76" s="46">
        <f>SUMIF('Japan 2'!C75:C752,A76,'Japan 2'!D75:D752)</f>
        <v>1</v>
      </c>
      <c r="D76" s="47">
        <v>279.0</v>
      </c>
      <c r="E76" s="61"/>
      <c r="F76" s="49">
        <v>0.0</v>
      </c>
    </row>
    <row r="77">
      <c r="A77" s="51" t="s">
        <v>117</v>
      </c>
      <c r="B77" s="45"/>
      <c r="C77" s="46">
        <f>SUMIF('Japan 2'!C76:C753,A77,'Japan 2'!D76:D753)</f>
        <v>1</v>
      </c>
      <c r="D77" s="47">
        <v>659.0</v>
      </c>
      <c r="E77" s="61"/>
      <c r="F77" s="49">
        <v>0.0</v>
      </c>
    </row>
    <row r="78">
      <c r="A78" s="44" t="s">
        <v>119</v>
      </c>
      <c r="B78" s="45"/>
      <c r="C78" s="46">
        <f>SUMIF('Japan 2'!C77:C754,A78,'Japan 2'!D77:D754)</f>
        <v>1</v>
      </c>
      <c r="D78" s="47">
        <v>579.0</v>
      </c>
      <c r="E78" s="61"/>
      <c r="F78" s="49">
        <v>0.0</v>
      </c>
    </row>
    <row r="79">
      <c r="A79" s="52" t="s">
        <v>121</v>
      </c>
      <c r="B79" s="45"/>
      <c r="C79" s="46">
        <f>SUMIF('Japan 2'!C78:C755,A79,'Japan 2'!D78:D755)</f>
        <v>1</v>
      </c>
      <c r="D79" s="47">
        <v>1750.0</v>
      </c>
      <c r="E79" s="61">
        <v>1.0</v>
      </c>
      <c r="F79" s="49">
        <v>0.0</v>
      </c>
    </row>
    <row r="80">
      <c r="A80" s="53" t="s">
        <v>122</v>
      </c>
      <c r="B80" s="45"/>
      <c r="C80" s="46">
        <f>SUMIF('Japan 2'!C79:C756,A80,'Japan 2'!D79:D756)</f>
        <v>1</v>
      </c>
      <c r="D80" s="47">
        <v>99.0</v>
      </c>
      <c r="E80" s="61"/>
      <c r="F80" s="49">
        <v>0.0</v>
      </c>
    </row>
    <row r="81">
      <c r="A81" s="51" t="s">
        <v>124</v>
      </c>
      <c r="B81" s="45"/>
      <c r="C81" s="46">
        <f>SUMIF('Japan 2'!C80:C757,A81,'Japan 2'!D80:D757)</f>
        <v>3</v>
      </c>
      <c r="D81" s="47">
        <v>205.0</v>
      </c>
      <c r="E81" s="61"/>
      <c r="F81" s="49">
        <v>0.0</v>
      </c>
    </row>
    <row r="82">
      <c r="A82" s="54" t="s">
        <v>125</v>
      </c>
      <c r="B82" s="45"/>
      <c r="C82" s="46">
        <f>SUMIF('Japan 2'!C81:C758,A82,'Japan 2'!D81:D758)</f>
        <v>5</v>
      </c>
      <c r="D82" s="47">
        <v>65.0</v>
      </c>
      <c r="E82" s="61"/>
      <c r="F82" s="49">
        <v>0.0</v>
      </c>
    </row>
    <row r="83">
      <c r="A83" s="53" t="s">
        <v>126</v>
      </c>
      <c r="B83" s="45"/>
      <c r="C83" s="46">
        <f>SUMIF('Japan 2'!C82:C759,A83,'Japan 2'!D82:D759)</f>
        <v>1</v>
      </c>
      <c r="D83" s="47">
        <v>239.0</v>
      </c>
      <c r="E83" s="61"/>
      <c r="F83" s="49">
        <v>0.0</v>
      </c>
    </row>
    <row r="84">
      <c r="A84" s="53" t="s">
        <v>129</v>
      </c>
      <c r="B84" s="45"/>
      <c r="C84" s="46">
        <f>SUMIF('Japan 2'!C83:C760,A84,'Japan 2'!D83:D760)</f>
        <v>2</v>
      </c>
      <c r="D84" s="47">
        <v>199.0</v>
      </c>
      <c r="E84" s="61"/>
      <c r="F84" s="49">
        <v>0.0</v>
      </c>
    </row>
    <row r="85">
      <c r="A85" s="51" t="s">
        <v>130</v>
      </c>
      <c r="B85" s="45"/>
      <c r="C85" s="46">
        <f>SUMIF('Japan 2'!C84:C761,A85,'Japan 2'!D84:D761)</f>
        <v>3</v>
      </c>
      <c r="D85" s="47">
        <v>245.0</v>
      </c>
      <c r="E85" s="61"/>
      <c r="F85" s="49">
        <v>0.0</v>
      </c>
    </row>
    <row r="86">
      <c r="A86" s="51" t="s">
        <v>131</v>
      </c>
      <c r="B86" s="45"/>
      <c r="C86" s="46">
        <f>SUMIF('Japan 2'!C85:C762,A86,'Japan 2'!D85:D762)</f>
        <v>1</v>
      </c>
      <c r="D86" s="47">
        <v>659.0</v>
      </c>
      <c r="E86" s="61"/>
      <c r="F86" s="49">
        <v>0.0</v>
      </c>
    </row>
    <row r="87">
      <c r="A87" s="52" t="s">
        <v>132</v>
      </c>
      <c r="B87" s="45"/>
      <c r="C87" s="46">
        <f>SUMIF('Japan 2'!C86:C763,A87,'Japan 2'!D86:D763)</f>
        <v>1</v>
      </c>
      <c r="D87" s="47">
        <v>259.0</v>
      </c>
      <c r="E87" s="61">
        <v>1.0</v>
      </c>
      <c r="F87" s="49">
        <v>0.0</v>
      </c>
    </row>
    <row r="88">
      <c r="A88" s="62" t="s">
        <v>134</v>
      </c>
      <c r="B88" s="45"/>
      <c r="C88" s="46">
        <f>SUMIF('Japan 2'!C87:C764,A88,'Japan 2'!D87:D764)</f>
        <v>1</v>
      </c>
      <c r="D88" s="47">
        <v>145.0</v>
      </c>
      <c r="E88" s="61"/>
      <c r="F88" s="49">
        <v>0.0</v>
      </c>
    </row>
    <row r="89" ht="24.75" customHeight="1">
      <c r="A89" s="53" t="s">
        <v>135</v>
      </c>
      <c r="B89" s="45"/>
      <c r="C89" s="46">
        <f>SUMIF('Japan 2'!C88:C765,A89,'Japan 2'!D88:D765)</f>
        <v>1</v>
      </c>
      <c r="D89" s="47">
        <v>139.0</v>
      </c>
      <c r="E89" s="61"/>
      <c r="F89" s="49">
        <v>0.0</v>
      </c>
    </row>
    <row r="90" ht="27.0" customHeight="1">
      <c r="A90" s="63" t="s">
        <v>136</v>
      </c>
      <c r="B90" s="38"/>
      <c r="C90" s="46">
        <f>SUMIF('Japan 2'!C89:C766,A90,'Japan 2'!D89:D766)</f>
        <v>2</v>
      </c>
      <c r="D90" s="64">
        <v>439.0</v>
      </c>
      <c r="E90" s="65">
        <v>2.0</v>
      </c>
      <c r="F90" s="49">
        <v>0.0</v>
      </c>
    </row>
    <row r="91">
      <c r="A91" s="66" t="s">
        <v>138</v>
      </c>
      <c r="B91" s="37"/>
      <c r="C91" s="46">
        <f>SUMIF('Japan 2'!C90:C767,A91,'Japan 2'!D90:D767)</f>
        <v>1</v>
      </c>
      <c r="D91" s="64">
        <v>249.0</v>
      </c>
      <c r="E91" s="65"/>
      <c r="F91" s="49">
        <v>0.0</v>
      </c>
    </row>
    <row r="92">
      <c r="A92" s="66" t="s">
        <v>139</v>
      </c>
      <c r="B92" s="37"/>
      <c r="C92" s="46">
        <f>SUMIF('Japan 2'!C91:C768,A92,'Japan 2'!D91:D768)</f>
        <v>1</v>
      </c>
      <c r="D92" s="60">
        <v>129.0</v>
      </c>
      <c r="E92" s="65"/>
      <c r="F92" s="49">
        <v>0.0</v>
      </c>
    </row>
    <row r="93">
      <c r="A93" s="66" t="s">
        <v>140</v>
      </c>
      <c r="B93" s="37"/>
      <c r="C93" s="46">
        <f>SUMIF('Japan 2'!C92:C769,A93,'Japan 2'!D92:D769)</f>
        <v>1</v>
      </c>
      <c r="D93" s="64">
        <v>199.0</v>
      </c>
      <c r="E93" s="65"/>
      <c r="F93" s="49">
        <v>0.0</v>
      </c>
    </row>
    <row r="94">
      <c r="A94" s="67" t="s">
        <v>141</v>
      </c>
      <c r="B94" s="37"/>
      <c r="C94" s="46">
        <f>SUMIF('Japan 2'!C93:C770,A94,'Japan 2'!D93:D770)</f>
        <v>3</v>
      </c>
      <c r="D94" s="64">
        <v>899.0</v>
      </c>
      <c r="E94" s="65"/>
      <c r="F94" s="49">
        <v>0.0</v>
      </c>
    </row>
    <row r="95">
      <c r="A95" s="68" t="s">
        <v>142</v>
      </c>
      <c r="B95" s="37"/>
      <c r="C95" s="46">
        <f>SUMIF('Japan 2'!C94:C771,A96,'Japan 2'!D94:D771)</f>
        <v>1</v>
      </c>
      <c r="D95" s="64">
        <v>219.0</v>
      </c>
      <c r="E95" s="65"/>
      <c r="F95" s="49">
        <v>0.0</v>
      </c>
    </row>
    <row r="96">
      <c r="A96" s="67" t="s">
        <v>143</v>
      </c>
      <c r="B96" s="37"/>
      <c r="C96" s="46">
        <f>SUMIF('Japan 2'!C95:C772,#REF!,'Japan 2'!D95:D772)</f>
        <v>0</v>
      </c>
      <c r="D96" s="64">
        <v>309.0</v>
      </c>
      <c r="E96" s="65"/>
      <c r="F96" s="49">
        <v>0.0</v>
      </c>
    </row>
    <row r="97">
      <c r="A97" s="67" t="s">
        <v>144</v>
      </c>
      <c r="B97" s="37"/>
      <c r="C97" s="46">
        <f>SUMIF('Japan 2'!C96:C773,A97,'Japan 2'!D96:D773)</f>
        <v>1</v>
      </c>
      <c r="D97" s="64">
        <v>299.0</v>
      </c>
      <c r="E97" s="65"/>
      <c r="F97" s="49">
        <v>0.0</v>
      </c>
    </row>
    <row r="98">
      <c r="A98" s="69" t="s">
        <v>145</v>
      </c>
      <c r="B98" s="37"/>
      <c r="C98" s="46">
        <f>SUMIF('Japan 2'!C97:C774,A98,'Japan 2'!D97:D774)</f>
        <v>2</v>
      </c>
      <c r="D98" s="64">
        <v>145.0</v>
      </c>
      <c r="E98" s="65"/>
      <c r="F98" s="49">
        <v>0.0</v>
      </c>
    </row>
    <row r="99">
      <c r="A99" s="69" t="s">
        <v>146</v>
      </c>
      <c r="B99" s="37"/>
      <c r="C99" s="46">
        <f>SUMIF('Japan 2'!C98:C775,A99,'Japan 2'!D98:D775)</f>
        <v>1</v>
      </c>
      <c r="D99" s="60">
        <v>115.0</v>
      </c>
      <c r="E99" s="65"/>
      <c r="F99" s="49">
        <v>0.0</v>
      </c>
      <c r="H99" s="70"/>
    </row>
    <row r="100">
      <c r="A100" s="69" t="s">
        <v>147</v>
      </c>
      <c r="B100" s="37"/>
      <c r="C100" s="46">
        <f>SUMIF('Japan 2'!C99:C776,A100,'Japan 2'!D99:D776)</f>
        <v>3</v>
      </c>
      <c r="D100" s="64">
        <v>115.0</v>
      </c>
      <c r="E100" s="65"/>
      <c r="F100" s="49">
        <v>0.0</v>
      </c>
    </row>
    <row r="101">
      <c r="A101" s="63" t="s">
        <v>148</v>
      </c>
      <c r="B101" s="37"/>
      <c r="C101" s="46">
        <f>SUMIF('Japan 2'!C100:C777,A101,'Japan 2'!D100:D777)</f>
        <v>1</v>
      </c>
      <c r="D101" s="64">
        <v>349.0</v>
      </c>
      <c r="E101" s="65"/>
      <c r="F101" s="49">
        <v>0.0</v>
      </c>
    </row>
    <row r="102">
      <c r="A102" s="66" t="s">
        <v>149</v>
      </c>
      <c r="B102" s="37"/>
      <c r="C102" s="46">
        <f>SUMIF('Japan 2'!C101:C778,A102,'Japan 2'!D101:D778)</f>
        <v>1</v>
      </c>
      <c r="D102" s="64">
        <v>249.0</v>
      </c>
      <c r="E102" s="65"/>
      <c r="F102" s="49">
        <v>0.0</v>
      </c>
    </row>
    <row r="103">
      <c r="A103" s="66" t="s">
        <v>151</v>
      </c>
      <c r="B103" s="37"/>
      <c r="C103" s="46">
        <f>SUMIF('Japan 2'!C102:C779,A103,'Japan 2'!D102:D779)</f>
        <v>1</v>
      </c>
      <c r="D103" s="64"/>
      <c r="E103" s="65"/>
      <c r="F103" s="49">
        <v>0.0</v>
      </c>
    </row>
    <row r="104">
      <c r="A104" s="63" t="s">
        <v>152</v>
      </c>
      <c r="B104" s="37"/>
      <c r="C104" s="46">
        <f>SUMIF('Japan 2'!C103:C780,A104,'Japan 2'!D103:D780)</f>
        <v>1</v>
      </c>
      <c r="D104" s="64">
        <v>1390.0</v>
      </c>
      <c r="E104" s="65"/>
      <c r="F104" s="49">
        <v>0.0</v>
      </c>
    </row>
    <row r="105">
      <c r="A105" s="63" t="s">
        <v>153</v>
      </c>
      <c r="B105" s="37"/>
      <c r="C105" s="46">
        <f>SUMIF('Japan 2'!C104:C781,A105,'Japan 2'!D104:D781)</f>
        <v>1</v>
      </c>
      <c r="D105" s="47">
        <v>279.0</v>
      </c>
      <c r="E105" s="65">
        <v>1.0</v>
      </c>
      <c r="F105" s="49">
        <v>0.0</v>
      </c>
    </row>
    <row r="106">
      <c r="A106" s="63" t="s">
        <v>154</v>
      </c>
      <c r="B106" s="37"/>
      <c r="C106" s="46">
        <f>SUMIF('Japan 2'!C105:C782,A106,'Japan 2'!D105:D782)</f>
        <v>1</v>
      </c>
      <c r="D106" s="60">
        <v>550.0</v>
      </c>
      <c r="E106" s="65"/>
      <c r="F106" s="71"/>
    </row>
    <row r="107">
      <c r="A107" s="69" t="s">
        <v>155</v>
      </c>
      <c r="B107" s="37"/>
      <c r="C107" s="46">
        <f>SUMIF('Japan 2'!C106:C783,A107,'Japan 2'!D106:D783)</f>
        <v>1</v>
      </c>
      <c r="D107" s="64">
        <v>749.0</v>
      </c>
      <c r="E107" s="65"/>
      <c r="F107" s="71"/>
    </row>
    <row r="108">
      <c r="A108" s="69" t="s">
        <v>158</v>
      </c>
      <c r="B108" s="37"/>
      <c r="C108" s="46">
        <f>SUMIF('Japan 2'!C107:C784,A108,'Japan 2'!D107:D784)</f>
        <v>2</v>
      </c>
      <c r="D108" s="64">
        <v>1249.0</v>
      </c>
      <c r="E108" s="65"/>
      <c r="F108" s="71"/>
    </row>
    <row r="109">
      <c r="A109" s="69" t="s">
        <v>159</v>
      </c>
      <c r="B109" s="37"/>
      <c r="C109" s="46">
        <f>SUMIF('Japan 2'!C108:C785,A109,'Japan 2'!D108:D785)</f>
        <v>3</v>
      </c>
      <c r="D109" s="64">
        <v>419.0</v>
      </c>
      <c r="E109" s="65"/>
      <c r="F109" s="71"/>
    </row>
    <row r="110">
      <c r="A110" s="69" t="s">
        <v>161</v>
      </c>
      <c r="B110" s="37"/>
      <c r="C110" s="46">
        <f>SUMIF('Japan 2'!C109:C786,A110,'Japan 2'!D109:D786)</f>
        <v>3</v>
      </c>
      <c r="D110" s="64">
        <v>479.0</v>
      </c>
      <c r="E110" s="37"/>
      <c r="F110" s="71"/>
    </row>
    <row r="111">
      <c r="A111" s="69" t="s">
        <v>162</v>
      </c>
      <c r="B111" s="37"/>
      <c r="C111" s="46">
        <f>SUMIF('Japan 2'!C110:C787,A111,'Japan 2'!D110:D787)</f>
        <v>1</v>
      </c>
      <c r="D111" s="64">
        <v>349.0</v>
      </c>
      <c r="E111" s="37"/>
      <c r="F111" s="71"/>
    </row>
    <row r="112">
      <c r="A112" s="69" t="s">
        <v>163</v>
      </c>
      <c r="B112" s="37"/>
      <c r="C112" s="46">
        <f>SUMIF('Japan 2'!C111:C788,A112,'Japan 2'!D111:D788)</f>
        <v>1</v>
      </c>
      <c r="D112" s="64">
        <v>699.0</v>
      </c>
      <c r="E112" s="65"/>
      <c r="F112" s="71"/>
    </row>
    <row r="113">
      <c r="A113" s="69" t="s">
        <v>165</v>
      </c>
      <c r="B113" s="37"/>
      <c r="C113" s="46">
        <f>SUMIF('Japan 2'!C112:C789,A113,'Japan 2'!D112:D789)</f>
        <v>1</v>
      </c>
      <c r="D113" s="64">
        <v>459.0</v>
      </c>
      <c r="E113" s="65"/>
      <c r="F113" s="71"/>
    </row>
    <row r="114">
      <c r="A114" s="69" t="s">
        <v>166</v>
      </c>
      <c r="B114" s="37"/>
      <c r="C114" s="46">
        <f>SUMIF('Japan 2'!C113:C790,A114,'Japan 2'!D113:D790)</f>
        <v>3</v>
      </c>
      <c r="D114" s="64">
        <v>629.0</v>
      </c>
      <c r="E114" s="65"/>
      <c r="F114" s="71"/>
    </row>
    <row r="115">
      <c r="A115" s="69" t="s">
        <v>168</v>
      </c>
      <c r="B115" s="37"/>
      <c r="C115" s="46">
        <f>SUMIF('Japan 2'!C114:C791,A115,'Japan 2'!D114:D791)</f>
        <v>0</v>
      </c>
      <c r="D115" s="64">
        <v>249.0</v>
      </c>
      <c r="E115" s="65"/>
      <c r="F115" s="71"/>
    </row>
    <row r="116">
      <c r="A116" s="69" t="s">
        <v>169</v>
      </c>
      <c r="B116" s="37"/>
      <c r="C116" s="46">
        <f>SUMIF('Japan 2'!C115:C792,A116,'Japan 2'!D115:D792)</f>
        <v>1</v>
      </c>
      <c r="D116" s="64">
        <v>159.0</v>
      </c>
      <c r="E116" s="65"/>
      <c r="F116" s="71"/>
    </row>
    <row r="117">
      <c r="A117" s="69" t="s">
        <v>170</v>
      </c>
      <c r="B117" s="37"/>
      <c r="C117" s="46">
        <f>SUMIF('Japan 2'!C116:C793,A117,'Japan 2'!D116:D793)</f>
        <v>1</v>
      </c>
      <c r="D117" s="64">
        <v>159.0</v>
      </c>
      <c r="E117" s="65"/>
      <c r="F117" s="49">
        <v>0.0</v>
      </c>
    </row>
    <row r="118">
      <c r="A118" s="69" t="s">
        <v>171</v>
      </c>
      <c r="B118" s="37"/>
      <c r="C118" s="46">
        <f>SUMIF('Japan 2'!C117:C794,A118,'Japan 2'!D117:D794)</f>
        <v>1</v>
      </c>
      <c r="D118" s="64">
        <v>129.0</v>
      </c>
      <c r="E118" s="65"/>
      <c r="F118" s="71"/>
    </row>
    <row r="119">
      <c r="A119" s="69" t="s">
        <v>172</v>
      </c>
      <c r="B119" s="37"/>
      <c r="C119" s="46">
        <f>SUMIF('Japan 2'!C118:C795,A119,'Japan 2'!D118:D795)</f>
        <v>1</v>
      </c>
      <c r="D119" s="64">
        <v>149.0</v>
      </c>
      <c r="E119" s="72"/>
      <c r="F119" s="49">
        <v>0.0</v>
      </c>
    </row>
    <row r="120">
      <c r="A120" s="69" t="s">
        <v>173</v>
      </c>
      <c r="B120" s="37"/>
      <c r="C120" s="46">
        <f>SUMIF('Japan 2'!C119:C796,A120,'Japan 2'!D119:D796)</f>
        <v>1</v>
      </c>
      <c r="D120" s="64">
        <v>149.0</v>
      </c>
      <c r="E120" s="65"/>
      <c r="F120" s="71"/>
    </row>
    <row r="121">
      <c r="A121" s="66" t="s">
        <v>174</v>
      </c>
      <c r="B121" s="37"/>
      <c r="C121" s="46">
        <f>SUMIF('Japan 2'!C120:C797,A121,'Japan 2'!D120:D797)</f>
        <v>2</v>
      </c>
      <c r="D121" s="64">
        <v>109.0</v>
      </c>
      <c r="E121" s="65"/>
      <c r="F121" s="71"/>
    </row>
    <row r="122">
      <c r="A122" s="63" t="s">
        <v>175</v>
      </c>
      <c r="B122" s="37"/>
      <c r="C122" s="46">
        <f>SUMIF('Japan 2'!C121:C798,A122,'Japan 2'!D121:D798)</f>
        <v>1</v>
      </c>
      <c r="D122" s="64">
        <v>750.0</v>
      </c>
      <c r="E122" s="37"/>
      <c r="F122" s="71"/>
    </row>
    <row r="123">
      <c r="A123" s="63" t="s">
        <v>176</v>
      </c>
      <c r="B123" s="37"/>
      <c r="C123" s="46">
        <f>SUMIF('Japan 2'!C122:C799,A123,'Japan 2'!D122:D799)</f>
        <v>1</v>
      </c>
      <c r="D123" s="64">
        <v>750.0</v>
      </c>
      <c r="E123" s="37"/>
      <c r="F123" s="71"/>
    </row>
    <row r="124">
      <c r="A124" s="69" t="s">
        <v>178</v>
      </c>
      <c r="B124" s="37"/>
      <c r="C124" s="46">
        <f>SUMIF('Japan 2'!C123:C800,A124,'Japan 2'!D123:D800)</f>
        <v>5</v>
      </c>
      <c r="D124" s="64">
        <v>145.0</v>
      </c>
      <c r="E124" s="65"/>
      <c r="F124" s="71"/>
    </row>
    <row r="125">
      <c r="A125" s="69" t="s">
        <v>180</v>
      </c>
      <c r="B125" s="37"/>
      <c r="C125" s="46">
        <f>SUMIF('Japan 2'!C124:C801,A125,'Japan 2'!D124:D801)</f>
        <v>2</v>
      </c>
      <c r="D125" s="64">
        <v>659.0</v>
      </c>
      <c r="E125" s="65"/>
      <c r="F125" s="71"/>
    </row>
    <row r="126">
      <c r="A126" s="69" t="s">
        <v>181</v>
      </c>
      <c r="B126" s="37"/>
      <c r="C126" s="46">
        <f>SUMIF('Japan 2'!C125:C802,A126,'Japan 2'!D125:D802)</f>
        <v>1</v>
      </c>
      <c r="D126" s="64">
        <v>729.0</v>
      </c>
      <c r="E126" s="65"/>
      <c r="F126" s="71"/>
    </row>
    <row r="127">
      <c r="A127" s="69" t="s">
        <v>182</v>
      </c>
      <c r="B127" s="37"/>
      <c r="C127" s="46">
        <f>SUMIF('Japan 2'!C126:C803,A127,'Japan 2'!D126:D803)</f>
        <v>2</v>
      </c>
      <c r="D127" s="64">
        <v>699.0</v>
      </c>
      <c r="E127" s="65"/>
      <c r="F127" s="49">
        <v>0.0</v>
      </c>
    </row>
    <row r="128">
      <c r="A128" s="73" t="s">
        <v>183</v>
      </c>
      <c r="B128" s="37"/>
      <c r="C128" s="46">
        <f>SUMIF('Japan 2'!C127:C804,A128,'Japan 2'!D127:D804)</f>
        <v>3</v>
      </c>
      <c r="D128" s="47">
        <v>50.0</v>
      </c>
      <c r="E128" s="65"/>
      <c r="F128" s="49">
        <v>0.0</v>
      </c>
    </row>
    <row r="129">
      <c r="A129" s="74" t="s">
        <v>185</v>
      </c>
      <c r="B129" s="37"/>
      <c r="C129" s="46">
        <f>SUMIF('Japan 2'!C128:C805,A129,'Japan 2'!D128:D805)</f>
        <v>2</v>
      </c>
      <c r="D129" s="64">
        <v>205.0</v>
      </c>
      <c r="E129" s="65"/>
      <c r="F129" s="71"/>
    </row>
    <row r="130">
      <c r="A130" s="74" t="s">
        <v>187</v>
      </c>
      <c r="B130" s="37"/>
      <c r="C130" s="46">
        <f>SUMIF('Japan 2'!C129:C806,A130,'Japan 2'!D129:D806)</f>
        <v>1</v>
      </c>
      <c r="D130" s="64">
        <v>1350.0</v>
      </c>
      <c r="E130" s="65"/>
      <c r="F130" s="49">
        <v>0.0</v>
      </c>
    </row>
    <row r="131">
      <c r="A131" s="74" t="s">
        <v>188</v>
      </c>
      <c r="B131" s="37"/>
      <c r="C131" s="46">
        <f>SUMIF('Japan 2'!C130:C807,A131,'Japan 2'!D130:D807)</f>
        <v>1</v>
      </c>
      <c r="D131" s="64">
        <v>1750.0</v>
      </c>
      <c r="E131" s="65"/>
      <c r="F131" s="71"/>
    </row>
    <row r="132">
      <c r="A132" s="74" t="s">
        <v>189</v>
      </c>
      <c r="B132" s="37"/>
      <c r="C132" s="46">
        <f>SUMIF('Japan 2'!C131:C808,A132,'Japan 2'!D131:D808)</f>
        <v>1</v>
      </c>
      <c r="D132" s="64">
        <v>1650.0</v>
      </c>
      <c r="E132" s="65"/>
      <c r="F132" s="71"/>
    </row>
    <row r="133">
      <c r="A133" s="69" t="s">
        <v>190</v>
      </c>
      <c r="B133" s="37"/>
      <c r="C133" s="46">
        <f>SUMIF('Japan 2'!C132:C809,A133,'Japan 2'!D132:D809)</f>
        <v>1</v>
      </c>
      <c r="D133" s="64">
        <v>819.0</v>
      </c>
      <c r="E133" s="65"/>
      <c r="F133" s="71"/>
    </row>
    <row r="134">
      <c r="A134" s="69" t="s">
        <v>191</v>
      </c>
      <c r="B134" s="37"/>
      <c r="C134" s="46">
        <f>SUMIF('Japan 2'!C133:C810,A134,'Japan 2'!D133:D810)</f>
        <v>1</v>
      </c>
      <c r="D134" s="64">
        <v>990.0</v>
      </c>
      <c r="E134" s="65"/>
      <c r="F134" s="71"/>
    </row>
    <row r="135">
      <c r="A135" s="63" t="s">
        <v>192</v>
      </c>
      <c r="B135" s="37"/>
      <c r="C135" s="46">
        <f>SUMIF('Japan 2'!C134:C811,A135,'Japan 2'!D134:D811)</f>
        <v>1</v>
      </c>
      <c r="D135" s="64">
        <v>1590.0</v>
      </c>
      <c r="E135" s="65"/>
      <c r="F135" s="71"/>
    </row>
    <row r="136">
      <c r="A136" s="69" t="s">
        <v>193</v>
      </c>
      <c r="B136" s="37"/>
      <c r="C136" s="46">
        <f>SUMIF('Japan 2'!C135:C812,A136,'Japan 2'!D135:D812)</f>
        <v>2</v>
      </c>
      <c r="D136" s="64">
        <v>219.0</v>
      </c>
      <c r="E136" s="65"/>
      <c r="F136" s="71"/>
    </row>
    <row r="137">
      <c r="A137" s="69" t="s">
        <v>194</v>
      </c>
      <c r="B137" s="37"/>
      <c r="C137" s="46">
        <f>SUMIF('Japan 2'!C136:C813,A137,'Japan 2'!D136:D813)</f>
        <v>1</v>
      </c>
      <c r="D137" s="64">
        <v>239.0</v>
      </c>
      <c r="E137" s="65"/>
      <c r="F137" s="71"/>
    </row>
    <row r="138">
      <c r="A138" s="69" t="s">
        <v>196</v>
      </c>
      <c r="B138" s="37"/>
      <c r="C138" s="46">
        <f>SUMIF('Japan 2'!C137:C814,A138,'Japan 2'!D137:D814)</f>
        <v>1</v>
      </c>
      <c r="D138" s="64">
        <v>149.0</v>
      </c>
      <c r="E138" s="65"/>
      <c r="F138" s="71"/>
    </row>
    <row r="139">
      <c r="A139" s="69" t="s">
        <v>197</v>
      </c>
      <c r="B139" s="37"/>
      <c r="C139" s="46">
        <f>SUMIF('Japan 2'!C138:C815,A139,'Japan 2'!D138:D815)</f>
        <v>1</v>
      </c>
      <c r="D139" s="64">
        <v>129.0</v>
      </c>
      <c r="E139" s="65"/>
      <c r="F139" s="71"/>
    </row>
    <row r="140">
      <c r="A140" s="63" t="s">
        <v>199</v>
      </c>
      <c r="B140" s="37"/>
      <c r="C140" s="46">
        <f>SUMIF('Japan 2'!C139:C816,A140,'Japan 2'!D139:D816)</f>
        <v>3</v>
      </c>
      <c r="D140" s="64">
        <v>459.0</v>
      </c>
      <c r="E140" s="65"/>
      <c r="F140" s="71"/>
    </row>
    <row r="141">
      <c r="A141" s="63" t="s">
        <v>201</v>
      </c>
      <c r="B141" s="37"/>
      <c r="C141" s="46">
        <f>SUMIF('Japan 2'!C140:C817,A141,'Japan 2'!D140:D817)</f>
        <v>2</v>
      </c>
      <c r="D141" s="60">
        <v>139.0</v>
      </c>
      <c r="E141" s="65"/>
      <c r="F141" s="71"/>
    </row>
    <row r="142">
      <c r="A142" s="63" t="s">
        <v>203</v>
      </c>
      <c r="B142" s="37"/>
      <c r="C142" s="46">
        <f>SUMIF('Japan 2'!C141:C818,A142,'Japan 2'!D141:D818)</f>
        <v>1</v>
      </c>
      <c r="D142" s="64">
        <v>579.0</v>
      </c>
      <c r="E142" s="65"/>
      <c r="F142" s="71"/>
    </row>
    <row r="143">
      <c r="A143" s="69" t="s">
        <v>204</v>
      </c>
      <c r="B143" s="37"/>
      <c r="C143" s="46">
        <f>SUMIF('Japan 2'!C142:C819,A143,'Japan 2'!D142:D819)</f>
        <v>1</v>
      </c>
      <c r="D143" s="64">
        <v>349.0</v>
      </c>
      <c r="E143" s="65"/>
      <c r="F143" s="71"/>
    </row>
    <row r="144">
      <c r="A144" s="69" t="s">
        <v>205</v>
      </c>
      <c r="B144" s="37"/>
      <c r="C144" s="46">
        <f>SUMIF('Japan 2'!C143:C820,A144,'Japan 2'!D143:D820)</f>
        <v>2</v>
      </c>
      <c r="D144" s="64">
        <v>219.0</v>
      </c>
      <c r="E144" s="65"/>
      <c r="F144" s="71"/>
    </row>
    <row r="145">
      <c r="A145" s="74" t="s">
        <v>208</v>
      </c>
      <c r="B145" s="37"/>
      <c r="C145" s="46">
        <f>SUMIF('Japan 2'!C144:C821,A145,'Japan 2'!D144:D821)</f>
        <v>1</v>
      </c>
      <c r="D145" s="60">
        <v>829.0</v>
      </c>
      <c r="E145" s="65"/>
      <c r="F145" s="71"/>
    </row>
    <row r="146">
      <c r="A146" s="63" t="s">
        <v>211</v>
      </c>
      <c r="B146" s="37"/>
      <c r="C146" s="46">
        <f>SUMIF('Japan 2'!C145:C822,A146,'Japan 2'!D145:D822)</f>
        <v>1</v>
      </c>
      <c r="D146" s="64">
        <v>179.0</v>
      </c>
      <c r="E146" s="65"/>
      <c r="F146" s="71"/>
    </row>
    <row r="147">
      <c r="A147" s="74" t="s">
        <v>212</v>
      </c>
      <c r="B147" s="37"/>
      <c r="C147" s="46">
        <f>SUMIF('Japan 2'!C146:C823,A147,'Japan 2'!D146:D823)</f>
        <v>1</v>
      </c>
      <c r="D147" s="60">
        <v>219.0</v>
      </c>
      <c r="E147" s="37"/>
      <c r="F147" s="71"/>
    </row>
    <row r="148">
      <c r="A148" s="63" t="s">
        <v>213</v>
      </c>
      <c r="B148" s="37"/>
      <c r="C148" s="46">
        <f>SUMIF('Japan 2'!C147:C824,A148,'Japan 2'!D147:D824)</f>
        <v>2</v>
      </c>
      <c r="D148" s="60">
        <v>219.0</v>
      </c>
      <c r="E148" s="65">
        <v>2.0</v>
      </c>
      <c r="F148" s="49">
        <v>0.0</v>
      </c>
    </row>
    <row r="149">
      <c r="A149" s="63" t="s">
        <v>215</v>
      </c>
      <c r="B149" s="37"/>
      <c r="C149" s="46">
        <f>SUMIF('Japan 2'!C148:C825,A149,'Japan 2'!D148:D825)</f>
        <v>1</v>
      </c>
      <c r="D149" s="64">
        <v>379.0</v>
      </c>
      <c r="E149" s="37"/>
      <c r="F149" s="71"/>
    </row>
    <row r="150">
      <c r="A150" s="63" t="s">
        <v>216</v>
      </c>
      <c r="B150" s="37"/>
      <c r="C150" s="46">
        <f>SUMIF('Japan 2'!C149:C826,A150,'Japan 2'!D149:D826)</f>
        <v>2</v>
      </c>
      <c r="D150" s="64">
        <v>459.0</v>
      </c>
      <c r="E150" s="37"/>
      <c r="F150" s="71"/>
    </row>
    <row r="151">
      <c r="A151" s="73" t="s">
        <v>217</v>
      </c>
      <c r="B151" s="37"/>
      <c r="C151" s="46">
        <f>SUMIF('Japan 2'!C150:C827,A151,'Japan 2'!D150:D827)</f>
        <v>0</v>
      </c>
      <c r="D151" s="64"/>
      <c r="E151" s="37"/>
      <c r="F151" s="71"/>
    </row>
    <row r="152">
      <c r="A152" s="73" t="s">
        <v>218</v>
      </c>
      <c r="B152" s="37"/>
      <c r="C152" s="46">
        <f>SUMIF('Japan 2'!C151:C828,A152,'Japan 2'!D151:D828)</f>
        <v>1</v>
      </c>
      <c r="D152" s="64">
        <v>95.0</v>
      </c>
      <c r="E152" s="37"/>
      <c r="F152" s="71"/>
    </row>
    <row r="153">
      <c r="A153" s="69" t="s">
        <v>219</v>
      </c>
      <c r="B153" s="37"/>
      <c r="C153" s="46">
        <f>SUMIF('Japan 2'!C152:C829,A153,'Japan 2'!D152:D829)</f>
        <v>2</v>
      </c>
      <c r="D153" s="64">
        <v>279.0</v>
      </c>
      <c r="E153" s="37"/>
      <c r="F153" s="71"/>
    </row>
    <row r="154">
      <c r="A154" s="74" t="s">
        <v>221</v>
      </c>
      <c r="B154" s="37"/>
      <c r="C154" s="46">
        <f>SUMIF('Japan 2'!C153:C830,A154,'Japan 2'!D153:D830)</f>
        <v>1</v>
      </c>
      <c r="D154" s="64">
        <v>179.0</v>
      </c>
      <c r="E154" s="37"/>
      <c r="F154" s="71"/>
    </row>
    <row r="155">
      <c r="A155" s="69" t="s">
        <v>223</v>
      </c>
      <c r="B155" s="37"/>
      <c r="C155" s="46">
        <f>SUMIF('Japan 2'!C154:C831,A155,'Japan 2'!D154:D831)</f>
        <v>1</v>
      </c>
      <c r="D155" s="64">
        <v>299.0</v>
      </c>
      <c r="E155" s="37"/>
      <c r="F155" s="71"/>
    </row>
    <row r="156">
      <c r="A156" s="73" t="s">
        <v>224</v>
      </c>
      <c r="B156" s="37"/>
      <c r="C156" s="46">
        <f>SUMIF('Japan 2'!C155:C832,A156,'Japan 2'!D155:D832)</f>
        <v>3</v>
      </c>
      <c r="D156" s="64"/>
      <c r="E156" s="37"/>
      <c r="F156" s="71"/>
    </row>
    <row r="157">
      <c r="A157" s="69" t="s">
        <v>225</v>
      </c>
      <c r="B157" s="37"/>
      <c r="C157" s="46">
        <f>SUMIF('Japan 2'!C156:C833,A157,'Japan 2'!D156:D833)</f>
        <v>1</v>
      </c>
      <c r="D157" s="64">
        <v>159.0</v>
      </c>
      <c r="E157" s="37"/>
      <c r="F157" s="71"/>
    </row>
    <row r="158">
      <c r="A158" s="69" t="s">
        <v>226</v>
      </c>
      <c r="B158" s="37"/>
      <c r="C158" s="46">
        <f>SUMIF('Japan 2'!C157:C834,A158,'Japan 2'!D157:D834)</f>
        <v>1</v>
      </c>
      <c r="D158" s="64">
        <v>149.0</v>
      </c>
      <c r="E158" s="37"/>
      <c r="F158" s="71"/>
    </row>
    <row r="159">
      <c r="A159" s="69" t="s">
        <v>227</v>
      </c>
      <c r="B159" s="37"/>
      <c r="C159" s="46">
        <f>SUMIF('Japan 2'!C158:C835,A159,'Japan 2'!D158:D835)</f>
        <v>3</v>
      </c>
      <c r="D159" s="64">
        <v>129.0</v>
      </c>
      <c r="E159" s="37"/>
      <c r="F159" s="71"/>
    </row>
    <row r="160">
      <c r="A160" s="69" t="s">
        <v>228</v>
      </c>
      <c r="B160" s="37"/>
      <c r="C160" s="46">
        <f>SUMIF('Japan 2'!C159:C836,A160,'Japan 2'!D159:D836)</f>
        <v>1</v>
      </c>
      <c r="D160" s="64">
        <v>129.0</v>
      </c>
      <c r="E160" s="65"/>
      <c r="F160" s="71"/>
    </row>
    <row r="161">
      <c r="A161" s="75" t="s">
        <v>229</v>
      </c>
      <c r="B161" s="37"/>
      <c r="C161" s="46">
        <f>SUMIF('Japan 2'!C160:C837,A161,'Japan 2'!D160:D837)</f>
        <v>1</v>
      </c>
      <c r="D161" s="64">
        <v>59.0</v>
      </c>
      <c r="E161" s="65"/>
      <c r="F161" s="71"/>
    </row>
    <row r="162">
      <c r="A162" s="75" t="s">
        <v>230</v>
      </c>
      <c r="B162" s="37"/>
      <c r="C162" s="46">
        <f>SUMIF('Japan 2'!C161:C838,A162,'Japan 2'!D161:D838)</f>
        <v>1</v>
      </c>
      <c r="D162" s="64">
        <v>49.0</v>
      </c>
      <c r="E162" s="37"/>
      <c r="F162" s="71"/>
    </row>
    <row r="163">
      <c r="A163" s="63" t="s">
        <v>231</v>
      </c>
      <c r="B163" s="37"/>
      <c r="C163" s="46">
        <f>SUMIF('Japan 2'!C162:C839,A163,'Japan 2'!D162:D839)</f>
        <v>1</v>
      </c>
      <c r="D163" s="64">
        <v>849.0</v>
      </c>
      <c r="E163" s="65"/>
      <c r="F163" s="71"/>
    </row>
    <row r="164">
      <c r="A164" s="75" t="s">
        <v>232</v>
      </c>
      <c r="B164" s="37"/>
      <c r="C164" s="46">
        <f>SUMIF('Japan 2'!C163:C840,A164,'Japan 2'!D163:D840)</f>
        <v>4</v>
      </c>
      <c r="D164" s="64">
        <v>49.0</v>
      </c>
      <c r="E164" s="65"/>
      <c r="F164" s="71"/>
    </row>
    <row r="165">
      <c r="A165" s="75" t="s">
        <v>233</v>
      </c>
      <c r="B165" s="37"/>
      <c r="C165" s="46">
        <f>SUMIF('Japan 2'!C164:C841,A165,'Japan 2'!D164:D841)</f>
        <v>1</v>
      </c>
      <c r="D165" s="60">
        <v>59.0</v>
      </c>
      <c r="E165" s="65"/>
      <c r="F165" s="71"/>
    </row>
    <row r="166">
      <c r="A166" s="75" t="s">
        <v>234</v>
      </c>
      <c r="B166" s="37"/>
      <c r="C166" s="46">
        <f>SUMIF('Japan 2'!C165:C842,A166,'Japan 2'!D165:D842)</f>
        <v>1</v>
      </c>
      <c r="D166" s="64">
        <v>59.0</v>
      </c>
      <c r="E166" s="65"/>
      <c r="F166" s="71"/>
    </row>
    <row r="167">
      <c r="A167" s="73" t="s">
        <v>235</v>
      </c>
      <c r="B167" s="37"/>
      <c r="C167" s="46">
        <f>SUMIF('Japan 2'!C166:C843,A167,'Japan 2'!D166:D843)</f>
        <v>2</v>
      </c>
      <c r="D167" s="64">
        <v>45.0</v>
      </c>
      <c r="E167" s="65"/>
      <c r="F167" s="71"/>
    </row>
    <row r="168">
      <c r="A168" s="74" t="s">
        <v>236</v>
      </c>
      <c r="B168" s="37"/>
      <c r="C168" s="46">
        <f>SUMIF('Japan 2'!C167:C844,A168,'Japan 2'!D167:D844)</f>
        <v>2</v>
      </c>
      <c r="D168" s="64">
        <v>49.0</v>
      </c>
      <c r="E168" s="65"/>
      <c r="F168" s="71"/>
    </row>
    <row r="169">
      <c r="A169" s="73" t="s">
        <v>237</v>
      </c>
      <c r="B169" s="37"/>
      <c r="C169" s="46">
        <f>SUMIF('Japan 2'!C168:C845,A169,'Japan 2'!D168:D845)</f>
        <v>4</v>
      </c>
      <c r="D169" s="64">
        <v>79.0</v>
      </c>
      <c r="E169" s="65"/>
      <c r="F169" s="71"/>
    </row>
    <row r="170">
      <c r="A170" s="63" t="s">
        <v>239</v>
      </c>
      <c r="B170" s="37"/>
      <c r="C170" s="46">
        <f>SUMIF('Japan 2'!C169:C846,A170,'Japan 2'!D169:D846)</f>
        <v>1</v>
      </c>
      <c r="D170" s="64">
        <v>149.0</v>
      </c>
      <c r="E170" s="65"/>
      <c r="F170" s="71"/>
    </row>
    <row r="171">
      <c r="A171" s="63" t="s">
        <v>240</v>
      </c>
      <c r="B171" s="37"/>
      <c r="C171" s="46">
        <f>SUMIF('Japan 2'!C170:C847,A171,'Japan 2'!D170:D847)</f>
        <v>1</v>
      </c>
      <c r="D171" s="64">
        <v>145.0</v>
      </c>
      <c r="E171" s="37"/>
      <c r="F171" s="71"/>
    </row>
    <row r="172">
      <c r="A172" s="63" t="s">
        <v>241</v>
      </c>
      <c r="B172" s="37"/>
      <c r="C172" s="46">
        <f>SUMIF('Japan 2'!C171:C848,A172,'Japan 2'!D171:D848)</f>
        <v>1</v>
      </c>
      <c r="D172" s="60">
        <v>349.0</v>
      </c>
      <c r="E172" s="37"/>
      <c r="F172" s="71"/>
    </row>
    <row r="173">
      <c r="A173" s="69" t="s">
        <v>242</v>
      </c>
      <c r="B173" s="37"/>
      <c r="C173" s="46">
        <f>SUMIF('Japan 2'!C172:C849,A173,'Japan 2'!D172:D849)</f>
        <v>1</v>
      </c>
      <c r="D173" s="64">
        <v>499.0</v>
      </c>
      <c r="E173" s="65"/>
      <c r="F173" s="71"/>
    </row>
    <row r="174">
      <c r="A174" s="63" t="s">
        <v>243</v>
      </c>
      <c r="B174" s="37"/>
      <c r="C174" s="46">
        <f>SUMIF('Japan 2'!C173:C850,A174,'Japan 2'!D173:D850)</f>
        <v>2</v>
      </c>
      <c r="D174" s="64">
        <v>319.0</v>
      </c>
      <c r="E174" s="65"/>
      <c r="F174" s="71"/>
    </row>
    <row r="175">
      <c r="A175" s="63" t="s">
        <v>244</v>
      </c>
      <c r="B175" s="37"/>
      <c r="C175" s="46">
        <f>SUMIF('Japan 2'!C174:C851,A175,'Japan 2'!D174:D851)</f>
        <v>3</v>
      </c>
      <c r="D175" s="64">
        <v>579.0</v>
      </c>
      <c r="E175" s="65"/>
      <c r="F175" s="71"/>
    </row>
    <row r="176">
      <c r="A176" s="69" t="s">
        <v>245</v>
      </c>
      <c r="B176" s="37"/>
      <c r="C176" s="46">
        <f>SUMIF('Japan 2'!C175:C852,A176,'Japan 2'!D175:D852)</f>
        <v>1</v>
      </c>
      <c r="D176" s="60">
        <v>849.0</v>
      </c>
      <c r="E176" s="65"/>
      <c r="F176" s="71"/>
    </row>
    <row r="177">
      <c r="A177" s="63" t="s">
        <v>246</v>
      </c>
      <c r="B177" s="37"/>
      <c r="C177" s="46">
        <f>SUMIF('Japan 2'!C176:C853,A177,'Japan 2'!D176:D853)</f>
        <v>7</v>
      </c>
      <c r="D177" s="64">
        <v>85.0</v>
      </c>
      <c r="E177" s="65"/>
      <c r="F177" s="71"/>
    </row>
    <row r="178">
      <c r="A178" s="63" t="s">
        <v>247</v>
      </c>
      <c r="B178" s="37"/>
      <c r="C178" s="46">
        <f>SUMIF('Japan 2'!C177:C854,A178,'Japan 2'!D177:D854)</f>
        <v>1</v>
      </c>
      <c r="D178" s="64">
        <v>115.0</v>
      </c>
      <c r="E178" s="65"/>
      <c r="F178" s="71"/>
    </row>
    <row r="179">
      <c r="A179" s="69" t="s">
        <v>248</v>
      </c>
      <c r="B179" s="37"/>
      <c r="C179" s="46">
        <f>SUMIF('Japan 2'!C178:C855,A179,'Japan 2'!D178:D855)</f>
        <v>1</v>
      </c>
      <c r="D179" s="64">
        <v>199.0</v>
      </c>
      <c r="E179" s="65"/>
      <c r="F179" s="71"/>
    </row>
    <row r="180">
      <c r="A180" s="74" t="s">
        <v>249</v>
      </c>
      <c r="B180" s="37"/>
      <c r="C180" s="46">
        <f>SUMIF('Japan 2'!C179:C856,A180,'Japan 2'!D179:D856)</f>
        <v>1</v>
      </c>
      <c r="D180" s="64">
        <v>205.0</v>
      </c>
      <c r="E180" s="65"/>
      <c r="F180" s="71"/>
    </row>
    <row r="181">
      <c r="A181" s="74" t="s">
        <v>250</v>
      </c>
      <c r="B181" s="37"/>
      <c r="C181" s="46">
        <f>SUMIF('Japan 2'!C180:C857,A181,'Japan 2'!D180:D857)</f>
        <v>1</v>
      </c>
      <c r="D181" s="64">
        <v>205.0</v>
      </c>
      <c r="E181" s="37"/>
      <c r="F181" s="71"/>
    </row>
    <row r="182">
      <c r="A182" s="74" t="s">
        <v>251</v>
      </c>
      <c r="B182" s="37"/>
      <c r="C182" s="46">
        <f>SUMIF('Japan 2'!C181:C858,A182,'Japan 2'!D181:D858)</f>
        <v>2</v>
      </c>
      <c r="D182" s="64">
        <v>205.0</v>
      </c>
      <c r="E182" s="37"/>
      <c r="F182" s="71"/>
    </row>
    <row r="183">
      <c r="A183" s="75" t="s">
        <v>252</v>
      </c>
      <c r="B183" s="37"/>
      <c r="C183" s="46">
        <f>SUMIF('Japan 2'!C182:C859,A183,'Japan 2'!D182:D859)</f>
        <v>1</v>
      </c>
      <c r="D183" s="64">
        <v>59.0</v>
      </c>
      <c r="E183" s="37"/>
      <c r="F183" s="71"/>
    </row>
    <row r="184">
      <c r="A184" s="74" t="s">
        <v>254</v>
      </c>
      <c r="B184" s="37"/>
      <c r="C184" s="46">
        <f>SUMIF('Japan 2'!C183:C860,A184,'Japan 2'!D183:D860)</f>
        <v>1</v>
      </c>
      <c r="D184" s="64">
        <v>1190.0</v>
      </c>
      <c r="E184" s="65"/>
      <c r="F184" s="71"/>
    </row>
    <row r="185">
      <c r="A185" s="37" t="s">
        <v>256</v>
      </c>
      <c r="B185" s="37"/>
      <c r="C185" s="46">
        <f>SUMIF('Japan 2'!C184:C861,A185,'Japan 2'!D184:D861)</f>
        <v>2</v>
      </c>
      <c r="D185" s="64">
        <v>549.0</v>
      </c>
      <c r="E185" s="65"/>
      <c r="F185" s="71"/>
    </row>
    <row r="186">
      <c r="A186" s="73" t="s">
        <v>257</v>
      </c>
      <c r="B186" s="37"/>
      <c r="C186" s="46">
        <f>SUMIF('Japan 2'!C185:C862,A186,'Japan 2'!D185:D862)</f>
        <v>4</v>
      </c>
      <c r="D186" s="64">
        <v>85.0</v>
      </c>
      <c r="E186" s="65"/>
      <c r="F186" s="71"/>
    </row>
    <row r="187">
      <c r="A187" s="74" t="s">
        <v>258</v>
      </c>
      <c r="B187" s="37"/>
      <c r="C187" s="46">
        <f>SUMIF('Japan 2'!C186:C863,A187,'Japan 2'!D186:D863)</f>
        <v>1</v>
      </c>
      <c r="D187" s="64">
        <v>379.0</v>
      </c>
      <c r="E187" s="65"/>
      <c r="F187" s="71"/>
    </row>
    <row r="188">
      <c r="A188" s="74" t="s">
        <v>260</v>
      </c>
      <c r="B188" s="37"/>
      <c r="C188" s="46">
        <f>SUMIF('Japan 2'!C187:C864,A188,'Japan 2'!D187:D864)</f>
        <v>2</v>
      </c>
      <c r="D188" s="64">
        <v>199.0</v>
      </c>
      <c r="E188" s="65"/>
      <c r="F188" s="71"/>
    </row>
    <row r="189">
      <c r="A189" s="74" t="s">
        <v>261</v>
      </c>
      <c r="B189" s="37"/>
      <c r="C189" s="46">
        <f>SUMIF('Japan 2'!C188:C865,A189,'Japan 2'!D188:D865)</f>
        <v>1</v>
      </c>
      <c r="D189" s="64">
        <v>499.0</v>
      </c>
      <c r="E189" s="65"/>
      <c r="F189" s="71"/>
    </row>
    <row r="190">
      <c r="A190" s="63" t="s">
        <v>262</v>
      </c>
      <c r="B190" s="37"/>
      <c r="C190" s="46">
        <f>SUMIF('Japan 2'!C189:C866,A190,'Japan 2'!D189:D866)</f>
        <v>2</v>
      </c>
      <c r="D190" s="64">
        <v>99.0</v>
      </c>
      <c r="E190" s="65"/>
      <c r="F190" s="71"/>
    </row>
    <row r="191">
      <c r="A191" s="63" t="s">
        <v>263</v>
      </c>
      <c r="B191" s="37"/>
      <c r="C191" s="46">
        <f>SUMIF('Japan 2'!C190:C867,A191,'Japan 2'!D190:D867)</f>
        <v>2</v>
      </c>
      <c r="D191" s="64">
        <v>99.0</v>
      </c>
      <c r="E191" s="65"/>
      <c r="F191" s="71"/>
    </row>
    <row r="192">
      <c r="A192" s="75" t="s">
        <v>264</v>
      </c>
      <c r="B192" s="37"/>
      <c r="C192" s="46">
        <f>SUMIF('Japan 2'!C191:C868,A192,'Japan 2'!D191:D868)</f>
        <v>4</v>
      </c>
      <c r="D192" s="64">
        <v>59.0</v>
      </c>
      <c r="E192" s="65"/>
      <c r="F192" s="71"/>
    </row>
    <row r="193">
      <c r="A193" s="74" t="s">
        <v>265</v>
      </c>
      <c r="B193" s="37"/>
      <c r="C193" s="46">
        <f>SUMIF('Japan 2'!C192:C869,A193,'Japan 2'!D192:D869)</f>
        <v>2</v>
      </c>
      <c r="D193" s="60">
        <v>50.0</v>
      </c>
      <c r="E193" s="65"/>
      <c r="F193" s="71"/>
    </row>
    <row r="194">
      <c r="A194" s="74" t="s">
        <v>266</v>
      </c>
      <c r="B194" s="37"/>
      <c r="C194" s="46">
        <f>SUMIF('Japan 2'!C193:C870,A194,'Japan 2'!D193:D870)</f>
        <v>1</v>
      </c>
      <c r="D194" s="64">
        <v>55.0</v>
      </c>
      <c r="E194" s="37"/>
      <c r="F194" s="71"/>
    </row>
    <row r="195">
      <c r="A195" s="74" t="s">
        <v>267</v>
      </c>
      <c r="B195" s="37"/>
      <c r="C195" s="46">
        <f>SUMIF('Japan 2'!C194:C871,A195,'Japan 2'!D194:D871)</f>
        <v>1</v>
      </c>
      <c r="D195" s="64">
        <v>50.0</v>
      </c>
      <c r="E195" s="65"/>
      <c r="F195" s="71"/>
    </row>
    <row r="196">
      <c r="A196" s="74" t="s">
        <v>268</v>
      </c>
      <c r="B196" s="37"/>
      <c r="C196" s="46">
        <f>SUMIF('Japan 2'!C195:C872,A196,'Japan 2'!D195:D872)</f>
        <v>1</v>
      </c>
      <c r="D196" s="64">
        <v>349.0</v>
      </c>
      <c r="E196" s="65"/>
      <c r="F196" s="71"/>
    </row>
    <row r="197">
      <c r="A197" s="74" t="s">
        <v>270</v>
      </c>
      <c r="B197" s="37"/>
      <c r="C197" s="46">
        <f>SUMIF('Japan 2'!C196:C873,A197,'Japan 2'!D196:D873)</f>
        <v>5</v>
      </c>
      <c r="D197" s="64">
        <v>379.0</v>
      </c>
      <c r="E197" s="37"/>
      <c r="F197" s="71"/>
    </row>
    <row r="198">
      <c r="A198" s="63" t="s">
        <v>272</v>
      </c>
      <c r="B198" s="37"/>
      <c r="C198" s="46">
        <f>SUMIF('Japan 2'!C197:C874,A198,'Japan 2'!D197:D874)</f>
        <v>1</v>
      </c>
      <c r="D198" s="64">
        <v>99.0</v>
      </c>
      <c r="E198" s="37"/>
      <c r="F198" s="71"/>
    </row>
    <row r="199">
      <c r="A199" s="63" t="s">
        <v>273</v>
      </c>
      <c r="B199" s="37"/>
      <c r="C199" s="46">
        <f>SUMIF('Japan 2'!C198:C875,A199,'Japan 2'!D198:D875)</f>
        <v>1</v>
      </c>
      <c r="D199" s="64">
        <v>99.0</v>
      </c>
      <c r="E199" s="37"/>
      <c r="F199" s="71"/>
    </row>
    <row r="200">
      <c r="A200" s="75" t="s">
        <v>274</v>
      </c>
      <c r="B200" s="37"/>
      <c r="C200" s="46">
        <f>SUMIF('Japan 2'!C199:C876,A200,'Japan 2'!D199:D876)</f>
        <v>1</v>
      </c>
      <c r="D200" s="64">
        <v>59.0</v>
      </c>
      <c r="E200" s="37"/>
      <c r="F200" s="71"/>
    </row>
    <row r="201">
      <c r="A201" s="75" t="s">
        <v>275</v>
      </c>
      <c r="B201" s="37"/>
      <c r="C201" s="46">
        <f>SUMIF('Japan 2'!C200:C877,A201,'Japan 2'!D200:D877)</f>
        <v>2</v>
      </c>
      <c r="D201" s="64">
        <v>49.0</v>
      </c>
      <c r="E201" s="37"/>
      <c r="F201" s="71"/>
    </row>
    <row r="202">
      <c r="A202" s="37" t="s">
        <v>276</v>
      </c>
      <c r="B202" s="37"/>
      <c r="C202" s="46">
        <f>SUMIF('Japan 2'!C201:C878,A202,'Japan 2'!D201:D878)</f>
        <v>1</v>
      </c>
      <c r="D202" s="64">
        <v>379.0</v>
      </c>
      <c r="E202" s="37"/>
      <c r="F202" s="71"/>
    </row>
    <row r="203">
      <c r="A203" s="73" t="s">
        <v>277</v>
      </c>
      <c r="B203" s="37"/>
      <c r="C203" s="46">
        <f>SUMIF('Japan 2'!C202:C879,A203,'Japan 2'!D202:D879)</f>
        <v>1</v>
      </c>
      <c r="D203" s="64">
        <v>65.0</v>
      </c>
      <c r="E203" s="65"/>
      <c r="F203" s="71"/>
    </row>
    <row r="204">
      <c r="A204" s="73" t="s">
        <v>278</v>
      </c>
      <c r="B204" s="37"/>
      <c r="C204" s="46">
        <f>SUMIF('Japan 2'!C203:C880,A204,'Japan 2'!D203:D880)</f>
        <v>1</v>
      </c>
      <c r="D204" s="64">
        <v>50.0</v>
      </c>
      <c r="E204" s="37"/>
      <c r="F204" s="71"/>
    </row>
    <row r="205">
      <c r="A205" s="74" t="s">
        <v>279</v>
      </c>
      <c r="B205" s="37"/>
      <c r="C205" s="46">
        <f>SUMIF('Japan 2'!C204:C881,A205,'Japan 2'!D204:D881)</f>
        <v>1</v>
      </c>
      <c r="D205" s="64">
        <v>99.0</v>
      </c>
      <c r="E205" s="37"/>
      <c r="F205" s="71"/>
    </row>
    <row r="206">
      <c r="A206" s="74" t="s">
        <v>280</v>
      </c>
      <c r="B206" s="37"/>
      <c r="C206" s="46">
        <f>SUMIF('Japan 2'!C205:C882,A206,'Japan 2'!D205:D882)</f>
        <v>1</v>
      </c>
      <c r="D206" s="64">
        <v>99.0</v>
      </c>
      <c r="E206" s="37"/>
      <c r="F206" s="71"/>
    </row>
    <row r="207">
      <c r="A207" s="74" t="s">
        <v>281</v>
      </c>
      <c r="B207" s="37"/>
      <c r="C207" s="46">
        <f>SUMIF('Japan 2'!C206:C883,A207,'Japan 2'!D206:D883)</f>
        <v>1</v>
      </c>
      <c r="D207" s="64">
        <v>99.0</v>
      </c>
      <c r="E207" s="37"/>
      <c r="F207" s="71"/>
    </row>
    <row r="208">
      <c r="A208" s="74" t="s">
        <v>282</v>
      </c>
      <c r="B208" s="37"/>
      <c r="C208" s="46">
        <f>SUMIF('Japan 2'!C207:C884,A208,'Japan 2'!D207:D884)</f>
        <v>3</v>
      </c>
      <c r="D208" s="64">
        <v>95.0</v>
      </c>
      <c r="E208" s="37"/>
      <c r="F208" s="71"/>
    </row>
    <row r="209">
      <c r="A209" s="74" t="s">
        <v>283</v>
      </c>
      <c r="B209" s="37"/>
      <c r="C209" s="46">
        <f>SUMIF('Japan 2'!C207:C885,A209,'Japan 2'!D207:D885)</f>
        <v>1</v>
      </c>
      <c r="D209" s="64">
        <v>159.0</v>
      </c>
      <c r="E209" s="37"/>
      <c r="F209" s="71"/>
    </row>
    <row r="210">
      <c r="A210" s="76" t="s">
        <v>284</v>
      </c>
      <c r="B210" s="77"/>
      <c r="C210" s="46">
        <f>SUMIF('Japan 2'!C208:C886,A210,'Japan 2'!D208:D886)</f>
        <v>2</v>
      </c>
      <c r="D210" s="78">
        <v>59.0</v>
      </c>
      <c r="E210" s="79"/>
      <c r="F210" s="71"/>
    </row>
    <row r="211">
      <c r="A211" s="80" t="s">
        <v>285</v>
      </c>
      <c r="B211" s="37"/>
      <c r="C211" s="46">
        <f>SUMIF('Japan 2'!C209:C887,A211,'Japan 2'!D209:D887)</f>
        <v>1</v>
      </c>
      <c r="D211" s="64">
        <v>149.0</v>
      </c>
      <c r="E211" s="65"/>
      <c r="F211" s="71"/>
    </row>
    <row r="212">
      <c r="A212" s="81" t="s">
        <v>286</v>
      </c>
      <c r="B212" s="37"/>
      <c r="C212" s="46">
        <f>SUMIF('Japan 2'!C210:C888,A212,'Japan 2'!D210:D888)</f>
        <v>1</v>
      </c>
      <c r="D212" s="64"/>
      <c r="E212" s="37"/>
      <c r="F212" s="71"/>
    </row>
    <row r="213">
      <c r="A213" s="81" t="s">
        <v>287</v>
      </c>
      <c r="B213" s="37"/>
      <c r="C213" s="46">
        <f>SUMIF('Japan 2'!C211:C889,A213,'Japan 2'!D211:D889)</f>
        <v>2</v>
      </c>
      <c r="D213" s="64"/>
      <c r="E213" s="37"/>
      <c r="F213" s="71"/>
    </row>
    <row r="214">
      <c r="A214" s="81" t="s">
        <v>288</v>
      </c>
      <c r="B214" s="37"/>
      <c r="C214" s="46">
        <f>SUMIF('Japan 2'!C212:C890,A214,'Japan 2'!D212:D890)</f>
        <v>14</v>
      </c>
      <c r="D214" s="64"/>
      <c r="E214" s="37"/>
      <c r="F214" s="71"/>
    </row>
    <row r="215">
      <c r="A215" s="81" t="s">
        <v>289</v>
      </c>
      <c r="B215" s="37"/>
      <c r="C215" s="46">
        <f>SUMIF('Japan 2'!C213:C891,A215,'Japan 2'!D213:D891)</f>
        <v>3</v>
      </c>
      <c r="D215" s="64"/>
      <c r="E215" s="37"/>
      <c r="F215" s="71"/>
    </row>
    <row r="216">
      <c r="A216" s="81" t="s">
        <v>290</v>
      </c>
      <c r="B216" s="37"/>
      <c r="C216" s="46">
        <f>SUMIF('Japan 2'!C214:C892,A216,'Japan 2'!D214:D892)</f>
        <v>2</v>
      </c>
      <c r="D216" s="64"/>
      <c r="E216" s="37"/>
      <c r="F216" s="71"/>
    </row>
    <row r="217">
      <c r="A217" s="81" t="s">
        <v>291</v>
      </c>
      <c r="B217" s="37"/>
      <c r="C217" s="46">
        <f>SUMIF('Japan 2'!C216:C893,A217,'Japan 2'!D216:D893)</f>
        <v>5</v>
      </c>
      <c r="D217" s="64"/>
      <c r="E217" s="37"/>
      <c r="F217" s="71"/>
    </row>
    <row r="218">
      <c r="A218" s="82" t="s">
        <v>292</v>
      </c>
      <c r="B218" s="37"/>
      <c r="C218" s="46">
        <f>SUMIF('Japan 2'!C216:C894,A218,'Japan 2'!D216:D894)</f>
        <v>3</v>
      </c>
      <c r="D218" s="64">
        <v>99.0</v>
      </c>
      <c r="E218" s="65"/>
      <c r="F218" s="71"/>
    </row>
    <row r="219">
      <c r="A219" s="80" t="s">
        <v>293</v>
      </c>
      <c r="B219" s="37"/>
      <c r="C219" s="46">
        <f>SUMIF('Japan 2'!C217:C895,A219,'Japan 2'!D217:D895)</f>
        <v>1</v>
      </c>
      <c r="D219" s="64">
        <v>749.0</v>
      </c>
      <c r="E219" s="37"/>
      <c r="F219" s="71"/>
    </row>
    <row r="220">
      <c r="A220" s="80" t="s">
        <v>294</v>
      </c>
      <c r="B220" s="37"/>
      <c r="C220" s="46">
        <f>SUMIF('Japan 2'!C218:C896,A220,'Japan 2'!D218:D896)</f>
        <v>1</v>
      </c>
      <c r="D220" s="64">
        <v>499.0</v>
      </c>
      <c r="E220" s="37"/>
      <c r="F220" s="71"/>
    </row>
    <row r="221">
      <c r="A221" s="80" t="s">
        <v>295</v>
      </c>
      <c r="B221" s="37"/>
      <c r="C221" s="46">
        <f>SUMIF('Japan 2'!C219:C897,A221,'Japan 2'!D219:D897)</f>
        <v>1</v>
      </c>
      <c r="D221" s="64">
        <v>499.0</v>
      </c>
      <c r="E221" s="37"/>
      <c r="F221" s="71"/>
    </row>
    <row r="222">
      <c r="A222" s="80" t="s">
        <v>296</v>
      </c>
      <c r="B222" s="37"/>
      <c r="C222" s="46">
        <f>SUMIF('Japan 2'!C220:C898,A222,'Japan 2'!D220:D898)</f>
        <v>1</v>
      </c>
      <c r="D222" s="64">
        <v>349.0</v>
      </c>
      <c r="E222" s="37"/>
      <c r="F222" s="71"/>
    </row>
    <row r="223">
      <c r="A223" s="80" t="s">
        <v>298</v>
      </c>
      <c r="B223" s="37"/>
      <c r="C223" s="46">
        <f>SUMIF('Japan 2'!C221:C899,A223,'Japan 2'!D221:D899)</f>
        <v>1</v>
      </c>
      <c r="D223" s="64">
        <v>359.0</v>
      </c>
      <c r="E223" s="37"/>
      <c r="F223" s="71"/>
    </row>
    <row r="224">
      <c r="A224" s="80" t="s">
        <v>299</v>
      </c>
      <c r="B224" s="37"/>
      <c r="C224" s="46">
        <f>SUMIF('Japan 2'!C222:C900,A224,'Japan 2'!D222:D900)</f>
        <v>1</v>
      </c>
      <c r="D224" s="64">
        <v>479.0</v>
      </c>
      <c r="E224" s="37"/>
      <c r="F224" s="71"/>
    </row>
    <row r="225">
      <c r="A225" s="81" t="s">
        <v>300</v>
      </c>
      <c r="B225" s="37"/>
      <c r="C225" s="46">
        <f>SUMIF('Japan 2'!C223:C901,A225,'Japan 2'!D223:D901)</f>
        <v>1</v>
      </c>
      <c r="D225" s="64">
        <v>379.0</v>
      </c>
      <c r="E225" s="37"/>
      <c r="F225" s="71"/>
    </row>
    <row r="226">
      <c r="A226" s="80" t="s">
        <v>301</v>
      </c>
      <c r="B226" s="37"/>
      <c r="C226" s="46">
        <f>SUMIF('Japan 2'!C224:C902,A226,'Japan 2'!D224:D902)</f>
        <v>1</v>
      </c>
      <c r="D226" s="64">
        <v>279.0</v>
      </c>
      <c r="E226" s="37"/>
      <c r="F226" s="71"/>
    </row>
    <row r="227">
      <c r="A227" s="80" t="s">
        <v>302</v>
      </c>
      <c r="B227" s="37"/>
      <c r="C227" s="46">
        <f>SUMIF('Japan 2'!C225:C903,A227,'Japan 2'!D225:D903)</f>
        <v>1</v>
      </c>
      <c r="D227" s="64">
        <v>109.0</v>
      </c>
      <c r="E227" s="37"/>
      <c r="F227" s="71"/>
    </row>
    <row r="228">
      <c r="A228" s="80" t="s">
        <v>303</v>
      </c>
      <c r="B228" s="37"/>
      <c r="C228" s="46">
        <f>SUMIF('Japan 2'!C226:C904,A228,'Japan 2'!D226:D904)</f>
        <v>1</v>
      </c>
      <c r="D228" s="64">
        <v>699.0</v>
      </c>
      <c r="E228" s="37"/>
      <c r="F228" s="71"/>
    </row>
    <row r="229">
      <c r="A229" s="80" t="s">
        <v>304</v>
      </c>
      <c r="B229" s="37"/>
      <c r="C229" s="46">
        <f>SUMIF('Japan 2'!C227:C905,A229,'Japan 2'!D227:D905)</f>
        <v>1</v>
      </c>
      <c r="D229" s="64">
        <v>49.0</v>
      </c>
      <c r="E229" s="37"/>
      <c r="F229" s="71"/>
    </row>
    <row r="230">
      <c r="A230" s="80" t="s">
        <v>305</v>
      </c>
      <c r="B230" s="37"/>
      <c r="C230" s="46">
        <f>SUMIF('Japan 2'!C228:C906,A230,'Japan 2'!D228:D906)</f>
        <v>1</v>
      </c>
      <c r="D230" s="64">
        <v>59.0</v>
      </c>
      <c r="E230" s="37"/>
      <c r="F230" s="71"/>
    </row>
    <row r="231">
      <c r="A231" s="80" t="s">
        <v>306</v>
      </c>
      <c r="B231" s="37"/>
      <c r="C231" s="46">
        <f>SUMIF('Japan 2'!C229:C907,A231,'Japan 2'!D229:D907)</f>
        <v>1</v>
      </c>
      <c r="D231" s="64">
        <v>129.0</v>
      </c>
      <c r="E231" s="37"/>
      <c r="F231" s="71"/>
    </row>
    <row r="232">
      <c r="A232" s="80" t="s">
        <v>307</v>
      </c>
      <c r="B232" s="37"/>
      <c r="C232" s="46">
        <f>SUMIF('Japan 2'!C230:C908,A232,'Japan 2'!D230:D908)</f>
        <v>1</v>
      </c>
      <c r="D232" s="64">
        <v>129.0</v>
      </c>
      <c r="E232" s="37"/>
      <c r="F232" s="71"/>
    </row>
    <row r="233">
      <c r="A233" s="80" t="s">
        <v>308</v>
      </c>
      <c r="B233" s="37"/>
      <c r="C233" s="46">
        <f>SUMIF('Japan 2'!C231:C909,A233,'Japan 2'!D231:D909)</f>
        <v>3</v>
      </c>
      <c r="D233" s="64">
        <v>79.0</v>
      </c>
      <c r="E233" s="37"/>
      <c r="F233" s="71"/>
    </row>
    <row r="234">
      <c r="A234" s="80" t="s">
        <v>309</v>
      </c>
      <c r="B234" s="37"/>
      <c r="C234" s="46">
        <f>SUMIF('Japan 2'!C232:C910,A234,'Japan 2'!D232:D910)</f>
        <v>1</v>
      </c>
      <c r="D234" s="64">
        <v>49.0</v>
      </c>
      <c r="E234" s="37"/>
      <c r="F234" s="71"/>
    </row>
    <row r="235">
      <c r="A235" s="80" t="s">
        <v>310</v>
      </c>
      <c r="B235" s="37"/>
      <c r="C235" s="46">
        <f>SUMIF('Japan 2'!C233:C911,A235,'Japan 2'!D233:D911)</f>
        <v>1</v>
      </c>
      <c r="D235" s="64">
        <v>69.0</v>
      </c>
      <c r="E235" s="37"/>
      <c r="F235" s="71"/>
    </row>
    <row r="236">
      <c r="A236" s="80" t="s">
        <v>311</v>
      </c>
      <c r="B236" s="83"/>
      <c r="C236" s="46">
        <f>SUMIF('Japan 2'!C234:C912,A236,'Japan 2'!D234:D912)</f>
        <v>1</v>
      </c>
      <c r="D236" s="64">
        <v>59.0</v>
      </c>
      <c r="E236" s="37"/>
      <c r="F236" s="71"/>
    </row>
    <row r="237">
      <c r="A237" s="80" t="s">
        <v>312</v>
      </c>
      <c r="B237" s="83"/>
      <c r="C237" s="46">
        <f>SUMIF('Japan 2'!C235:C913,A237,'Japan 2'!D235:D913)</f>
        <v>1</v>
      </c>
      <c r="D237" s="64">
        <v>59.0</v>
      </c>
      <c r="E237" s="37"/>
      <c r="F237" s="71"/>
    </row>
    <row r="238">
      <c r="A238" s="80" t="s">
        <v>313</v>
      </c>
      <c r="B238" s="83"/>
      <c r="C238" s="46">
        <f>SUMIF('Japan 2'!C236:C914,A238,'Japan 2'!D236:D914)</f>
        <v>3</v>
      </c>
      <c r="D238" s="64">
        <v>59.0</v>
      </c>
      <c r="E238" s="37"/>
      <c r="F238" s="71"/>
    </row>
    <row r="239">
      <c r="A239" s="80" t="s">
        <v>315</v>
      </c>
      <c r="B239" s="83"/>
      <c r="C239" s="46">
        <f>SUMIF('Japan 2'!C237:C915,A239,'Japan 2'!D237:D915)</f>
        <v>1</v>
      </c>
      <c r="D239" s="64">
        <v>149.0</v>
      </c>
      <c r="E239" s="37"/>
      <c r="F239" s="71"/>
    </row>
    <row r="240">
      <c r="A240" s="80" t="s">
        <v>316</v>
      </c>
      <c r="B240" s="83"/>
      <c r="C240" s="46">
        <f>SUMIF('Japan 2'!C238:C916,A240,'Japan 2'!D238:D916)</f>
        <v>1</v>
      </c>
      <c r="D240" s="64">
        <v>149.0</v>
      </c>
      <c r="E240" s="37"/>
      <c r="F240" s="71"/>
    </row>
    <row r="241">
      <c r="A241" s="80" t="s">
        <v>317</v>
      </c>
      <c r="B241" s="83"/>
      <c r="C241" s="46">
        <f>SUMIF('Japan 2'!C239:C917,A241,'Japan 2'!D239:D917)</f>
        <v>1</v>
      </c>
      <c r="D241" s="64">
        <v>319.0</v>
      </c>
      <c r="E241" s="37"/>
      <c r="F241" s="71"/>
    </row>
    <row r="242">
      <c r="A242" s="80" t="s">
        <v>318</v>
      </c>
      <c r="B242" s="83"/>
      <c r="C242" s="46">
        <f>SUMIF('Japan 2'!C240:C918,A242,'Japan 2'!D240:D918)</f>
        <v>1</v>
      </c>
      <c r="D242" s="64">
        <v>299.0</v>
      </c>
      <c r="E242" s="37"/>
      <c r="F242" s="71"/>
    </row>
    <row r="243">
      <c r="A243" s="80" t="s">
        <v>319</v>
      </c>
      <c r="B243" s="37"/>
      <c r="C243" s="46">
        <f>SUMIF('Japan 2'!C241:C919,A243,'Japan 2'!D241:D919)</f>
        <v>1</v>
      </c>
      <c r="D243" s="64">
        <v>279.0</v>
      </c>
      <c r="E243" s="37"/>
      <c r="F243" s="71"/>
    </row>
    <row r="244">
      <c r="A244" s="80" t="s">
        <v>320</v>
      </c>
      <c r="B244" s="37"/>
      <c r="C244" s="46">
        <f>SUMIF('Japan 2'!C242:C920,A244,'Japan 2'!D242:D920)</f>
        <v>1</v>
      </c>
      <c r="D244" s="64">
        <v>309.0</v>
      </c>
      <c r="E244" s="37"/>
      <c r="F244" s="71"/>
    </row>
    <row r="245">
      <c r="A245" s="81" t="s">
        <v>322</v>
      </c>
      <c r="B245" s="37"/>
      <c r="C245" s="46">
        <f>SUMIF('Japan 2'!C243:C921,A245,'Japan 2'!D243:D921)</f>
        <v>2</v>
      </c>
      <c r="D245" s="64">
        <v>109.0</v>
      </c>
      <c r="E245" s="37"/>
      <c r="F245" s="71"/>
    </row>
    <row r="246">
      <c r="A246" s="81" t="s">
        <v>323</v>
      </c>
      <c r="B246" s="37"/>
      <c r="C246" s="46">
        <f>SUMIF('Japan 2'!C244:C922,A246,'Japan 2'!D244:D922)</f>
        <v>1</v>
      </c>
      <c r="D246" s="64">
        <v>299.0</v>
      </c>
      <c r="E246" s="37"/>
      <c r="F246" s="71"/>
    </row>
    <row r="247">
      <c r="A247" s="81" t="s">
        <v>324</v>
      </c>
      <c r="B247" s="37"/>
      <c r="C247" s="46">
        <f>SUMIF('Japan 2'!C245:C923,A247,'Japan 2'!D245:D923)</f>
        <v>1</v>
      </c>
      <c r="D247" s="64">
        <v>129.0</v>
      </c>
      <c r="E247" s="37"/>
      <c r="F247" s="71"/>
    </row>
    <row r="248">
      <c r="A248" s="81" t="s">
        <v>325</v>
      </c>
      <c r="B248" s="37"/>
      <c r="C248" s="46">
        <f>SUMIF('Japan 2'!C246:C924,A248,'Japan 2'!D246:D924)</f>
        <v>1</v>
      </c>
      <c r="D248" s="64">
        <v>95.0</v>
      </c>
      <c r="E248" s="37"/>
      <c r="F248" s="71"/>
    </row>
    <row r="249">
      <c r="A249" s="81" t="s">
        <v>326</v>
      </c>
      <c r="B249" s="37"/>
      <c r="C249" s="46">
        <f>SUMIF('Japan 2'!C247:C925,A249,'Japan 2'!D247:D925)</f>
        <v>1</v>
      </c>
      <c r="D249" s="64">
        <v>549.0</v>
      </c>
      <c r="E249" s="37"/>
      <c r="F249" s="71"/>
    </row>
    <row r="250">
      <c r="A250" s="81" t="s">
        <v>327</v>
      </c>
      <c r="B250" s="37"/>
      <c r="C250" s="46">
        <f>SUMIF('Japan 2'!C248:C926,A250,'Japan 2'!D248:D926)</f>
        <v>1</v>
      </c>
      <c r="D250" s="64">
        <v>459.0</v>
      </c>
      <c r="E250" s="37"/>
      <c r="F250" s="71"/>
    </row>
    <row r="251">
      <c r="A251" s="81" t="s">
        <v>328</v>
      </c>
      <c r="B251" s="37"/>
      <c r="C251" s="46">
        <f>SUMIF('Japan 2'!C249:C927,A251,'Japan 2'!D249:D927)</f>
        <v>1</v>
      </c>
      <c r="D251" s="64">
        <v>479.0</v>
      </c>
      <c r="E251" s="37"/>
      <c r="F251" s="71"/>
    </row>
    <row r="252">
      <c r="A252" s="37" t="s">
        <v>329</v>
      </c>
      <c r="B252" s="37"/>
      <c r="C252" s="46">
        <f>SUMIF('Japan 2'!C250:C928,A252,'Japan 2'!D250:D928)</f>
        <v>1</v>
      </c>
      <c r="D252" s="64">
        <v>129.0</v>
      </c>
      <c r="E252" s="37"/>
      <c r="F252" s="71"/>
    </row>
    <row r="253">
      <c r="A253" s="37" t="s">
        <v>330</v>
      </c>
      <c r="B253" s="37"/>
      <c r="C253" s="46">
        <f>SUMIF('Japan 2'!C251:C929,A253,'Japan 2'!D251:D929)</f>
        <v>1</v>
      </c>
      <c r="D253" s="64">
        <v>599.0</v>
      </c>
      <c r="E253" s="37"/>
      <c r="F253" s="71"/>
    </row>
    <row r="254">
      <c r="A254" s="37" t="s">
        <v>332</v>
      </c>
      <c r="B254" s="37"/>
      <c r="C254" s="46">
        <f>SUMIF('Japan 2'!C252:C930,A254,'Japan 2'!D252:D930)</f>
        <v>2</v>
      </c>
      <c r="D254" s="64">
        <v>89.0</v>
      </c>
      <c r="E254" s="37"/>
      <c r="F254" s="71"/>
    </row>
    <row r="255">
      <c r="A255" s="37" t="s">
        <v>333</v>
      </c>
      <c r="B255" s="37"/>
      <c r="C255" s="46">
        <f>SUMIF('Japan 2'!C253:C931,A255,'Japan 2'!D253:D931)</f>
        <v>2</v>
      </c>
      <c r="D255" s="64">
        <v>89.0</v>
      </c>
      <c r="E255" s="37"/>
      <c r="F255" s="71"/>
    </row>
    <row r="256">
      <c r="A256" s="37" t="s">
        <v>334</v>
      </c>
      <c r="B256" s="37"/>
      <c r="C256" s="46">
        <f>SUMIF('Japan 2'!C254:C932,A256,'Japan 2'!D254:D932)</f>
        <v>2</v>
      </c>
      <c r="D256" s="64">
        <v>69.0</v>
      </c>
      <c r="E256" s="37"/>
      <c r="F256" s="71"/>
    </row>
    <row r="257">
      <c r="A257" s="37" t="s">
        <v>335</v>
      </c>
      <c r="B257" s="37"/>
      <c r="C257" s="46">
        <f>SUMIF('Japan 2'!C255:C933,A257,'Japan 2'!D255:D933)</f>
        <v>2</v>
      </c>
      <c r="D257" s="64">
        <v>69.0</v>
      </c>
      <c r="E257" s="37"/>
      <c r="F257" s="71"/>
    </row>
    <row r="258">
      <c r="A258" s="37" t="s">
        <v>337</v>
      </c>
      <c r="B258" s="37"/>
      <c r="C258" s="46">
        <f>SUMIF('Japan 2'!C256:C934,A258,'Japan 2'!D256:D934)</f>
        <v>1</v>
      </c>
      <c r="D258" s="84"/>
      <c r="E258" s="37"/>
      <c r="F258" s="71"/>
    </row>
    <row r="259">
      <c r="A259" s="37" t="s">
        <v>338</v>
      </c>
      <c r="B259" s="37"/>
      <c r="C259" s="46">
        <f>SUMIF('Japan 2'!C257:C935,A259,'Japan 2'!D257:D935)</f>
        <v>2</v>
      </c>
      <c r="D259" s="64"/>
      <c r="E259" s="37"/>
      <c r="F259" s="71"/>
    </row>
    <row r="260">
      <c r="A260" s="37" t="s">
        <v>339</v>
      </c>
      <c r="B260" s="37"/>
      <c r="C260" s="46">
        <f>SUMIF('Japan 2'!C258:C936,A260,'Japan 2'!D258:D936)</f>
        <v>0</v>
      </c>
      <c r="D260" s="84"/>
      <c r="E260" s="37"/>
      <c r="F260" s="71">
        <f t="shared" ref="F260:F264" si="1">C260-E260</f>
        <v>0</v>
      </c>
    </row>
    <row r="261">
      <c r="A261" s="37"/>
      <c r="B261" s="37"/>
      <c r="C261" s="46">
        <f>SUMIF('Japan 2'!C259:C937,A261,'Japan 2'!D259:D937)</f>
        <v>0</v>
      </c>
      <c r="D261" s="64"/>
      <c r="E261" s="37"/>
      <c r="F261" s="71">
        <f t="shared" si="1"/>
        <v>0</v>
      </c>
    </row>
    <row r="262">
      <c r="A262" s="37"/>
      <c r="B262" s="37"/>
      <c r="C262" s="47">
        <v>1.0</v>
      </c>
      <c r="D262" s="64"/>
      <c r="E262" s="37"/>
      <c r="F262" s="71">
        <f t="shared" si="1"/>
        <v>1</v>
      </c>
    </row>
    <row r="263">
      <c r="A263" s="37"/>
      <c r="B263" s="37"/>
      <c r="C263" s="46">
        <f>SUMIF('Japan 2'!C261:C939,A263,'Japan 2'!D261:D939)</f>
        <v>0</v>
      </c>
      <c r="D263" s="64"/>
      <c r="E263" s="37"/>
      <c r="F263" s="71">
        <f t="shared" si="1"/>
        <v>0</v>
      </c>
    </row>
    <row r="264">
      <c r="A264" s="37"/>
      <c r="B264" s="37"/>
      <c r="C264" s="46">
        <f>SUMIF('Japan 2'!C262:C940,A264,'Japan 2'!D262:D940)</f>
        <v>0</v>
      </c>
      <c r="D264" s="64"/>
      <c r="E264" s="37"/>
      <c r="F264" s="71">
        <f t="shared" si="1"/>
        <v>0</v>
      </c>
    </row>
    <row r="265">
      <c r="A265" s="37"/>
      <c r="B265" s="37"/>
      <c r="C265" s="46">
        <f>SUMIF('Japan 2'!C263:C941,A265,'Japan 2'!D263:D941)</f>
        <v>0</v>
      </c>
      <c r="D265" s="64"/>
      <c r="E265" s="37"/>
      <c r="F265" s="85"/>
    </row>
    <row r="266">
      <c r="B266" s="37"/>
      <c r="C266" s="46">
        <f>SUMIF('Japan 2'!C264:C942,A266,'Japan 2'!D264:D942)</f>
        <v>0</v>
      </c>
      <c r="D266" s="84"/>
      <c r="E266" s="37"/>
      <c r="F266" s="85"/>
    </row>
    <row r="267">
      <c r="B267" s="37"/>
      <c r="C267" s="46">
        <f>SUMIF('Japan 2'!C265:C943,A267,'Japan 2'!D265:D943)</f>
        <v>0</v>
      </c>
      <c r="D267" s="84"/>
      <c r="E267" s="37"/>
      <c r="F267" s="85"/>
    </row>
    <row r="268">
      <c r="B268" s="37"/>
      <c r="C268" s="46">
        <f>SUMIF('Japan 2'!C266:C944,A268,'Japan 2'!D266:D944)</f>
        <v>0</v>
      </c>
      <c r="D268" s="84"/>
      <c r="E268" s="37"/>
      <c r="F268" s="85"/>
    </row>
    <row r="269">
      <c r="B269" s="37"/>
      <c r="C269" s="46">
        <f>SUMIF('Japan 2'!C267:C945,A269,'Japan 2'!D267:D945)</f>
        <v>0</v>
      </c>
      <c r="D269" s="84"/>
      <c r="E269" s="37"/>
      <c r="F269" s="85"/>
    </row>
    <row r="270">
      <c r="B270" s="37"/>
      <c r="C270" s="46">
        <f>SUMIF('Japan 2'!C268:C946,A270,'Japan 2'!D268:D946)</f>
        <v>0</v>
      </c>
      <c r="D270" s="84"/>
      <c r="E270" s="37"/>
      <c r="F270" s="85"/>
    </row>
    <row r="271">
      <c r="B271" s="37"/>
      <c r="C271" s="46">
        <f>SUMIF('Japan 2'!C269:C947,A271,'Japan 2'!D269:D947)</f>
        <v>0</v>
      </c>
      <c r="D271" s="84"/>
      <c r="E271" s="37"/>
      <c r="F271" s="85"/>
    </row>
    <row r="272">
      <c r="B272" s="37"/>
      <c r="C272" s="46">
        <f>SUMIF('Japan 2'!C270:C948,A272,'Japan 2'!D270:D948)</f>
        <v>0</v>
      </c>
      <c r="D272" s="84"/>
      <c r="E272" s="37"/>
      <c r="F272" s="85"/>
    </row>
    <row r="273">
      <c r="B273" s="37"/>
      <c r="C273" s="46">
        <f>SUMIF('Japan 2'!C271:C949,A273,'Japan 2'!D271:D949)</f>
        <v>0</v>
      </c>
      <c r="D273" s="84"/>
      <c r="E273" s="37"/>
      <c r="F273" s="85"/>
    </row>
    <row r="274">
      <c r="B274" s="37"/>
      <c r="C274" s="46">
        <f>SUMIF('Japan 2'!C272:C950,A274,'Japan 2'!D272:D950)</f>
        <v>0</v>
      </c>
      <c r="D274" s="84"/>
      <c r="E274" s="37"/>
      <c r="F274" s="85"/>
    </row>
    <row r="275">
      <c r="B275" s="37"/>
      <c r="C275" s="46">
        <f>SUMIF('Japan 2'!C273:C951,A275,'Japan 2'!D273:D951)</f>
        <v>0</v>
      </c>
      <c r="D275" s="84"/>
      <c r="E275" s="37"/>
      <c r="F275" s="85"/>
    </row>
    <row r="276">
      <c r="B276" s="37"/>
      <c r="C276" s="46">
        <f>SUMIF('Japan 2'!C274:C952,A276,'Japan 2'!D274:D952)</f>
        <v>0</v>
      </c>
      <c r="D276" s="84"/>
      <c r="E276" s="37"/>
      <c r="F276" s="85"/>
    </row>
    <row r="277">
      <c r="B277" s="37"/>
      <c r="C277" s="46">
        <f>SUMIF('Japan 2'!C275:C953,A277,'Japan 2'!D275:D953)</f>
        <v>0</v>
      </c>
      <c r="D277" s="84"/>
      <c r="E277" s="37"/>
      <c r="F277" s="85"/>
    </row>
    <row r="278">
      <c r="B278" s="37"/>
      <c r="C278" s="46">
        <f>SUMIF('Japan 2'!C276:C954,A278,'Japan 2'!D276:D954)</f>
        <v>0</v>
      </c>
      <c r="D278" s="84"/>
      <c r="E278" s="37"/>
      <c r="F278" s="85"/>
    </row>
    <row r="279">
      <c r="B279" s="37"/>
      <c r="C279" s="46">
        <f>SUMIF('Japan 2'!C277:C955,A279,'Japan 2'!D277:D955)</f>
        <v>0</v>
      </c>
      <c r="D279" s="84"/>
      <c r="E279" s="37"/>
      <c r="F279" s="85"/>
    </row>
    <row r="280">
      <c r="B280" s="37"/>
      <c r="C280" s="46">
        <f>SUMIF('Japan 2'!C278:C956,A280,'Japan 2'!D278:D956)</f>
        <v>0</v>
      </c>
      <c r="D280" s="84"/>
      <c r="E280" s="37"/>
      <c r="F280" s="85"/>
    </row>
    <row r="281">
      <c r="B281" s="37"/>
      <c r="C281" s="46">
        <f>SUMIF('Japan 2'!C279:C957,A281,'Japan 2'!D279:D957)</f>
        <v>0</v>
      </c>
      <c r="D281" s="84"/>
      <c r="E281" s="37"/>
      <c r="F281" s="85"/>
    </row>
    <row r="282">
      <c r="B282" s="37"/>
      <c r="C282" s="46">
        <f>SUMIF('Japan 2'!C280:C958,A282,'Japan 2'!D280:D958)</f>
        <v>0</v>
      </c>
      <c r="D282" s="84"/>
      <c r="E282" s="37"/>
      <c r="F282" s="85"/>
    </row>
    <row r="283">
      <c r="B283" s="37"/>
      <c r="C283" s="46">
        <f>SUMIF('Japan 2'!C281:C959,A283,'Japan 2'!D281:D959)</f>
        <v>0</v>
      </c>
      <c r="D283" s="84"/>
      <c r="E283" s="37"/>
      <c r="F283" s="85"/>
    </row>
    <row r="284">
      <c r="B284" s="37"/>
      <c r="C284" s="46">
        <f>SUMIF('Japan 2'!C282:C960,A284,'Japan 2'!D282:D960)</f>
        <v>0</v>
      </c>
      <c r="D284" s="84"/>
      <c r="E284" s="37"/>
      <c r="F284" s="85"/>
    </row>
    <row r="285">
      <c r="D285" s="86"/>
      <c r="F285" s="87"/>
    </row>
    <row r="286">
      <c r="D286" s="86"/>
      <c r="F286" s="87"/>
    </row>
    <row r="287">
      <c r="D287" s="86"/>
      <c r="F287" s="87"/>
    </row>
    <row r="288">
      <c r="D288" s="86"/>
      <c r="F288" s="87"/>
    </row>
    <row r="289">
      <c r="D289" s="86"/>
      <c r="F289" s="87"/>
    </row>
    <row r="290">
      <c r="D290" s="86"/>
      <c r="F290" s="87"/>
    </row>
    <row r="291">
      <c r="D291" s="86"/>
      <c r="F291" s="87"/>
    </row>
    <row r="292">
      <c r="D292" s="86"/>
      <c r="F292" s="87"/>
    </row>
    <row r="293">
      <c r="D293" s="86"/>
      <c r="F293" s="87"/>
    </row>
    <row r="294">
      <c r="D294" s="86"/>
      <c r="F294" s="87"/>
    </row>
    <row r="295">
      <c r="D295" s="86"/>
      <c r="F295" s="87"/>
    </row>
    <row r="296">
      <c r="D296" s="86"/>
      <c r="F296" s="87"/>
    </row>
    <row r="297">
      <c r="D297" s="86"/>
      <c r="F297" s="87"/>
    </row>
    <row r="298">
      <c r="D298" s="86"/>
      <c r="F298" s="87"/>
    </row>
    <row r="299">
      <c r="D299" s="86"/>
      <c r="F299" s="87"/>
    </row>
    <row r="300">
      <c r="D300" s="86"/>
      <c r="F300" s="87"/>
    </row>
    <row r="301">
      <c r="D301" s="86"/>
      <c r="F301" s="87"/>
    </row>
    <row r="302">
      <c r="D302" s="86"/>
      <c r="F302" s="87"/>
    </row>
    <row r="303">
      <c r="D303" s="86"/>
      <c r="F303" s="87"/>
    </row>
    <row r="304">
      <c r="D304" s="86"/>
      <c r="F304" s="87"/>
    </row>
    <row r="305">
      <c r="D305" s="86"/>
      <c r="F305" s="87"/>
    </row>
    <row r="306">
      <c r="D306" s="86"/>
      <c r="F306" s="87"/>
    </row>
    <row r="307">
      <c r="D307" s="86"/>
      <c r="F307" s="87"/>
    </row>
    <row r="308">
      <c r="D308" s="86"/>
      <c r="F308" s="87"/>
    </row>
    <row r="309">
      <c r="D309" s="86"/>
      <c r="F309" s="87"/>
    </row>
    <row r="310">
      <c r="D310" s="86"/>
      <c r="F310" s="87"/>
    </row>
    <row r="311">
      <c r="D311" s="86"/>
      <c r="F311" s="87"/>
    </row>
    <row r="312">
      <c r="D312" s="86"/>
      <c r="F312" s="87"/>
    </row>
    <row r="313">
      <c r="D313" s="86"/>
      <c r="F313" s="87"/>
    </row>
    <row r="314">
      <c r="D314" s="86"/>
      <c r="F314" s="87"/>
    </row>
    <row r="315">
      <c r="D315" s="86"/>
      <c r="F315" s="87"/>
    </row>
    <row r="316">
      <c r="D316" s="86"/>
      <c r="F316" s="87"/>
    </row>
    <row r="317">
      <c r="D317" s="86"/>
      <c r="F317" s="87"/>
    </row>
    <row r="318">
      <c r="D318" s="86"/>
      <c r="F318" s="87"/>
    </row>
    <row r="319">
      <c r="D319" s="86"/>
      <c r="F319" s="87"/>
    </row>
    <row r="320">
      <c r="D320" s="86"/>
      <c r="F320" s="87"/>
    </row>
    <row r="321">
      <c r="D321" s="86"/>
      <c r="F321" s="87"/>
    </row>
    <row r="322">
      <c r="D322" s="86"/>
      <c r="F322" s="87"/>
    </row>
    <row r="323">
      <c r="D323" s="86"/>
      <c r="F323" s="87"/>
    </row>
    <row r="324">
      <c r="D324" s="86"/>
      <c r="F324" s="87"/>
    </row>
    <row r="325">
      <c r="D325" s="86"/>
      <c r="F325" s="87"/>
    </row>
    <row r="326">
      <c r="D326" s="86"/>
      <c r="F326" s="87"/>
    </row>
    <row r="327">
      <c r="D327" s="86"/>
      <c r="F327" s="87"/>
    </row>
    <row r="328">
      <c r="D328" s="86"/>
      <c r="F328" s="87"/>
    </row>
    <row r="329">
      <c r="D329" s="86"/>
      <c r="F329" s="87"/>
    </row>
    <row r="330">
      <c r="D330" s="86"/>
      <c r="F330" s="87"/>
    </row>
    <row r="331">
      <c r="D331" s="86"/>
      <c r="F331" s="87"/>
    </row>
    <row r="332">
      <c r="D332" s="86"/>
      <c r="F332" s="87"/>
    </row>
    <row r="333">
      <c r="D333" s="86"/>
      <c r="F333" s="87"/>
    </row>
    <row r="334">
      <c r="D334" s="86"/>
      <c r="F334" s="87"/>
    </row>
    <row r="335">
      <c r="D335" s="86"/>
      <c r="F335" s="87"/>
    </row>
    <row r="336">
      <c r="D336" s="86"/>
      <c r="F336" s="87"/>
    </row>
    <row r="337">
      <c r="D337" s="86"/>
      <c r="F337" s="87"/>
    </row>
    <row r="338">
      <c r="D338" s="86"/>
      <c r="F338" s="87"/>
    </row>
    <row r="339">
      <c r="D339" s="86"/>
      <c r="F339" s="87"/>
    </row>
    <row r="340">
      <c r="D340" s="86"/>
      <c r="F340" s="87"/>
    </row>
    <row r="341">
      <c r="D341" s="86"/>
      <c r="F341" s="87"/>
    </row>
    <row r="342">
      <c r="D342" s="86"/>
      <c r="F342" s="87"/>
    </row>
    <row r="343">
      <c r="D343" s="86"/>
      <c r="F343" s="87"/>
    </row>
    <row r="344">
      <c r="D344" s="86"/>
      <c r="F344" s="87"/>
    </row>
    <row r="345">
      <c r="D345" s="86"/>
      <c r="F345" s="87"/>
    </row>
    <row r="346">
      <c r="D346" s="86"/>
      <c r="F346" s="87"/>
    </row>
    <row r="347">
      <c r="D347" s="86"/>
      <c r="F347" s="87"/>
    </row>
    <row r="348">
      <c r="D348" s="86"/>
      <c r="F348" s="87"/>
    </row>
    <row r="349">
      <c r="D349" s="86"/>
      <c r="F349" s="87"/>
    </row>
    <row r="350">
      <c r="D350" s="86"/>
      <c r="F350" s="87"/>
    </row>
    <row r="351">
      <c r="D351" s="86"/>
      <c r="F351" s="87"/>
    </row>
    <row r="352">
      <c r="D352" s="86"/>
      <c r="F352" s="87"/>
    </row>
    <row r="353">
      <c r="D353" s="86"/>
      <c r="F353" s="87"/>
    </row>
    <row r="354">
      <c r="D354" s="86"/>
      <c r="F354" s="87"/>
    </row>
    <row r="355">
      <c r="D355" s="86"/>
      <c r="F355" s="87"/>
    </row>
    <row r="356">
      <c r="D356" s="86"/>
      <c r="F356" s="87"/>
    </row>
    <row r="357">
      <c r="D357" s="86"/>
      <c r="F357" s="87"/>
    </row>
    <row r="358">
      <c r="D358" s="86"/>
      <c r="F358" s="87"/>
    </row>
    <row r="359">
      <c r="D359" s="86"/>
      <c r="F359" s="87"/>
    </row>
    <row r="360">
      <c r="D360" s="86"/>
      <c r="F360" s="87"/>
    </row>
    <row r="361">
      <c r="D361" s="86"/>
      <c r="F361" s="87"/>
    </row>
    <row r="362">
      <c r="D362" s="86"/>
      <c r="F362" s="87"/>
    </row>
    <row r="363">
      <c r="D363" s="86"/>
      <c r="F363" s="87"/>
    </row>
    <row r="364">
      <c r="D364" s="86"/>
      <c r="F364" s="87"/>
    </row>
    <row r="365">
      <c r="D365" s="86"/>
      <c r="F365" s="87"/>
    </row>
    <row r="366">
      <c r="D366" s="86"/>
      <c r="F366" s="87"/>
    </row>
    <row r="367">
      <c r="D367" s="86"/>
      <c r="F367" s="87"/>
    </row>
    <row r="368">
      <c r="D368" s="86"/>
      <c r="F368" s="87"/>
    </row>
    <row r="369">
      <c r="D369" s="86"/>
      <c r="F369" s="87"/>
    </row>
    <row r="370">
      <c r="D370" s="86"/>
      <c r="F370" s="87"/>
    </row>
    <row r="371">
      <c r="D371" s="86"/>
      <c r="F371" s="87"/>
    </row>
    <row r="372">
      <c r="D372" s="86"/>
      <c r="F372" s="87"/>
    </row>
    <row r="373">
      <c r="D373" s="86"/>
      <c r="F373" s="87"/>
    </row>
    <row r="374">
      <c r="D374" s="86"/>
      <c r="F374" s="87"/>
    </row>
    <row r="375">
      <c r="D375" s="86"/>
      <c r="F375" s="87"/>
    </row>
    <row r="376">
      <c r="D376" s="86"/>
      <c r="F376" s="87"/>
    </row>
    <row r="377">
      <c r="D377" s="86"/>
      <c r="F377" s="87"/>
    </row>
    <row r="378">
      <c r="D378" s="86"/>
      <c r="F378" s="87"/>
    </row>
    <row r="379">
      <c r="D379" s="86"/>
      <c r="F379" s="87"/>
    </row>
    <row r="380">
      <c r="D380" s="86"/>
      <c r="F380" s="87"/>
    </row>
    <row r="381">
      <c r="D381" s="86"/>
      <c r="F381" s="87"/>
    </row>
    <row r="382">
      <c r="D382" s="86"/>
      <c r="F382" s="87"/>
    </row>
    <row r="383">
      <c r="D383" s="86"/>
      <c r="F383" s="87"/>
    </row>
    <row r="384">
      <c r="D384" s="86"/>
      <c r="F384" s="87"/>
    </row>
    <row r="385">
      <c r="D385" s="86"/>
      <c r="F385" s="87"/>
    </row>
    <row r="386">
      <c r="D386" s="86"/>
      <c r="F386" s="87"/>
    </row>
    <row r="387">
      <c r="D387" s="86"/>
      <c r="F387" s="87"/>
    </row>
    <row r="388">
      <c r="D388" s="86"/>
      <c r="F388" s="87"/>
    </row>
    <row r="389">
      <c r="D389" s="86"/>
      <c r="F389" s="87"/>
    </row>
    <row r="390">
      <c r="D390" s="86"/>
      <c r="F390" s="87"/>
    </row>
    <row r="391">
      <c r="D391" s="86"/>
      <c r="F391" s="87"/>
    </row>
    <row r="392">
      <c r="D392" s="86"/>
      <c r="F392" s="87"/>
    </row>
    <row r="393">
      <c r="D393" s="86"/>
      <c r="F393" s="87"/>
    </row>
    <row r="394">
      <c r="D394" s="86"/>
      <c r="F394" s="87"/>
    </row>
    <row r="395">
      <c r="D395" s="86"/>
      <c r="F395" s="87"/>
    </row>
    <row r="396">
      <c r="D396" s="86"/>
      <c r="F396" s="87"/>
    </row>
    <row r="397">
      <c r="D397" s="86"/>
      <c r="F397" s="87"/>
    </row>
    <row r="398">
      <c r="D398" s="86"/>
      <c r="F398" s="87"/>
    </row>
    <row r="399">
      <c r="D399" s="86"/>
      <c r="F399" s="87"/>
    </row>
    <row r="400">
      <c r="D400" s="86"/>
      <c r="F400" s="87"/>
    </row>
    <row r="401">
      <c r="D401" s="86"/>
      <c r="F401" s="87"/>
    </row>
    <row r="402">
      <c r="D402" s="86"/>
      <c r="F402" s="87"/>
    </row>
    <row r="403">
      <c r="D403" s="86"/>
      <c r="F403" s="87"/>
    </row>
    <row r="404">
      <c r="D404" s="86"/>
      <c r="F404" s="87"/>
    </row>
    <row r="405">
      <c r="D405" s="86"/>
      <c r="F405" s="87"/>
    </row>
    <row r="406">
      <c r="D406" s="86"/>
      <c r="F406" s="87"/>
    </row>
    <row r="407">
      <c r="D407" s="86"/>
      <c r="F407" s="87"/>
    </row>
    <row r="408">
      <c r="D408" s="86"/>
      <c r="F408" s="87"/>
    </row>
    <row r="409">
      <c r="D409" s="86"/>
      <c r="F409" s="87"/>
    </row>
    <row r="410">
      <c r="D410" s="86"/>
      <c r="F410" s="87"/>
    </row>
    <row r="411">
      <c r="D411" s="86"/>
      <c r="F411" s="87"/>
    </row>
    <row r="412">
      <c r="D412" s="86"/>
      <c r="F412" s="87"/>
    </row>
    <row r="413">
      <c r="D413" s="86"/>
      <c r="F413" s="87"/>
    </row>
    <row r="414">
      <c r="D414" s="86"/>
      <c r="F414" s="87"/>
    </row>
    <row r="415">
      <c r="D415" s="86"/>
      <c r="F415" s="87"/>
    </row>
    <row r="416">
      <c r="D416" s="86"/>
      <c r="F416" s="87"/>
    </row>
    <row r="417">
      <c r="D417" s="86"/>
      <c r="F417" s="87"/>
    </row>
    <row r="418">
      <c r="D418" s="86"/>
      <c r="F418" s="87"/>
    </row>
    <row r="419">
      <c r="D419" s="86"/>
      <c r="F419" s="87"/>
    </row>
    <row r="420">
      <c r="D420" s="86"/>
      <c r="F420" s="87"/>
    </row>
    <row r="421">
      <c r="D421" s="86"/>
      <c r="F421" s="87"/>
    </row>
    <row r="422">
      <c r="D422" s="86"/>
      <c r="F422" s="87"/>
    </row>
    <row r="423">
      <c r="D423" s="86"/>
      <c r="F423" s="87"/>
    </row>
    <row r="424">
      <c r="D424" s="86"/>
      <c r="F424" s="87"/>
    </row>
    <row r="425">
      <c r="D425" s="86"/>
      <c r="F425" s="87"/>
    </row>
    <row r="426">
      <c r="D426" s="86"/>
      <c r="F426" s="87"/>
    </row>
    <row r="427">
      <c r="D427" s="86"/>
      <c r="F427" s="87"/>
    </row>
    <row r="428">
      <c r="D428" s="86"/>
      <c r="F428" s="87"/>
    </row>
    <row r="429">
      <c r="D429" s="86"/>
      <c r="F429" s="87"/>
    </row>
    <row r="430">
      <c r="D430" s="86"/>
      <c r="F430" s="87"/>
    </row>
    <row r="431">
      <c r="D431" s="86"/>
      <c r="F431" s="87"/>
    </row>
    <row r="432">
      <c r="D432" s="86"/>
      <c r="F432" s="87"/>
    </row>
    <row r="433">
      <c r="D433" s="86"/>
      <c r="F433" s="87"/>
    </row>
    <row r="434">
      <c r="D434" s="86"/>
      <c r="F434" s="87"/>
    </row>
    <row r="435">
      <c r="D435" s="86"/>
      <c r="F435" s="87"/>
    </row>
    <row r="436">
      <c r="D436" s="86"/>
      <c r="F436" s="87"/>
    </row>
    <row r="437">
      <c r="D437" s="86"/>
      <c r="F437" s="87"/>
    </row>
    <row r="438">
      <c r="D438" s="86"/>
      <c r="F438" s="87"/>
    </row>
    <row r="439">
      <c r="D439" s="86"/>
      <c r="F439" s="87"/>
    </row>
    <row r="440">
      <c r="D440" s="86"/>
      <c r="F440" s="87"/>
    </row>
    <row r="441">
      <c r="D441" s="86"/>
      <c r="F441" s="87"/>
    </row>
    <row r="442">
      <c r="D442" s="86"/>
      <c r="F442" s="87"/>
    </row>
    <row r="443">
      <c r="D443" s="86"/>
      <c r="F443" s="87"/>
    </row>
    <row r="444">
      <c r="D444" s="86"/>
      <c r="F444" s="87"/>
    </row>
    <row r="445">
      <c r="D445" s="86"/>
      <c r="F445" s="87"/>
    </row>
    <row r="446">
      <c r="D446" s="86"/>
      <c r="F446" s="87"/>
    </row>
    <row r="447">
      <c r="D447" s="86"/>
      <c r="F447" s="87"/>
    </row>
    <row r="448">
      <c r="D448" s="86"/>
      <c r="F448" s="87"/>
    </row>
    <row r="449">
      <c r="D449" s="86"/>
      <c r="F449" s="87"/>
    </row>
    <row r="450">
      <c r="D450" s="86"/>
      <c r="F450" s="87"/>
    </row>
    <row r="451">
      <c r="D451" s="86"/>
      <c r="F451" s="87"/>
    </row>
    <row r="452">
      <c r="D452" s="86"/>
      <c r="F452" s="87"/>
    </row>
    <row r="453">
      <c r="D453" s="86"/>
      <c r="F453" s="87"/>
    </row>
    <row r="454">
      <c r="D454" s="86"/>
      <c r="F454" s="87"/>
    </row>
    <row r="455">
      <c r="D455" s="86"/>
      <c r="F455" s="87"/>
    </row>
    <row r="456">
      <c r="D456" s="86"/>
      <c r="F456" s="87"/>
    </row>
    <row r="457">
      <c r="D457" s="86"/>
      <c r="F457" s="87"/>
    </row>
    <row r="458">
      <c r="D458" s="86"/>
      <c r="F458" s="87"/>
    </row>
    <row r="459">
      <c r="D459" s="86"/>
      <c r="F459" s="87"/>
    </row>
    <row r="460">
      <c r="D460" s="86"/>
      <c r="F460" s="87"/>
    </row>
    <row r="461">
      <c r="D461" s="86"/>
      <c r="F461" s="87"/>
    </row>
    <row r="462">
      <c r="D462" s="86"/>
      <c r="F462" s="87"/>
    </row>
    <row r="463">
      <c r="D463" s="86"/>
      <c r="F463" s="87"/>
    </row>
    <row r="464">
      <c r="D464" s="86"/>
      <c r="F464" s="87"/>
    </row>
    <row r="465">
      <c r="D465" s="86"/>
      <c r="F465" s="87"/>
    </row>
    <row r="466">
      <c r="D466" s="86"/>
      <c r="F466" s="87"/>
    </row>
    <row r="467">
      <c r="D467" s="86"/>
      <c r="F467" s="87"/>
    </row>
    <row r="468">
      <c r="D468" s="86"/>
      <c r="F468" s="87"/>
    </row>
    <row r="469">
      <c r="D469" s="86"/>
      <c r="F469" s="87"/>
    </row>
    <row r="470">
      <c r="D470" s="86"/>
      <c r="F470" s="87"/>
    </row>
    <row r="471">
      <c r="D471" s="86"/>
      <c r="F471" s="87"/>
    </row>
    <row r="472">
      <c r="D472" s="86"/>
      <c r="F472" s="87"/>
    </row>
    <row r="473">
      <c r="D473" s="86"/>
      <c r="F473" s="87"/>
    </row>
    <row r="474">
      <c r="D474" s="86"/>
      <c r="F474" s="87"/>
    </row>
    <row r="475">
      <c r="D475" s="86"/>
      <c r="F475" s="87"/>
    </row>
    <row r="476">
      <c r="D476" s="86"/>
      <c r="F476" s="87"/>
    </row>
    <row r="477">
      <c r="D477" s="86"/>
      <c r="F477" s="87"/>
    </row>
    <row r="478">
      <c r="D478" s="86"/>
      <c r="F478" s="87"/>
    </row>
    <row r="479">
      <c r="D479" s="86"/>
      <c r="F479" s="87"/>
    </row>
    <row r="480">
      <c r="D480" s="86"/>
      <c r="F480" s="87"/>
    </row>
    <row r="481">
      <c r="D481" s="86"/>
      <c r="F481" s="87"/>
    </row>
    <row r="482">
      <c r="D482" s="86"/>
      <c r="F482" s="87"/>
    </row>
    <row r="483">
      <c r="D483" s="86"/>
      <c r="F483" s="87"/>
    </row>
    <row r="484">
      <c r="D484" s="86"/>
      <c r="F484" s="87"/>
    </row>
    <row r="485">
      <c r="D485" s="86"/>
      <c r="F485" s="87"/>
    </row>
    <row r="486">
      <c r="D486" s="86"/>
      <c r="F486" s="87"/>
    </row>
    <row r="487">
      <c r="D487" s="86"/>
      <c r="F487" s="87"/>
    </row>
    <row r="488">
      <c r="D488" s="86"/>
      <c r="F488" s="87"/>
    </row>
    <row r="489">
      <c r="D489" s="86"/>
      <c r="F489" s="87"/>
    </row>
    <row r="490">
      <c r="D490" s="86"/>
      <c r="F490" s="87"/>
    </row>
    <row r="491">
      <c r="D491" s="86"/>
      <c r="F491" s="87"/>
    </row>
    <row r="492">
      <c r="D492" s="86"/>
      <c r="F492" s="87"/>
    </row>
    <row r="493">
      <c r="D493" s="86"/>
      <c r="F493" s="87"/>
    </row>
    <row r="494">
      <c r="D494" s="86"/>
      <c r="F494" s="87"/>
    </row>
    <row r="495">
      <c r="D495" s="86"/>
      <c r="F495" s="87"/>
    </row>
    <row r="496">
      <c r="D496" s="86"/>
      <c r="F496" s="87"/>
    </row>
    <row r="497">
      <c r="D497" s="86"/>
      <c r="F497" s="87"/>
    </row>
    <row r="498">
      <c r="D498" s="86"/>
      <c r="F498" s="87"/>
    </row>
    <row r="499">
      <c r="D499" s="86"/>
      <c r="F499" s="87"/>
    </row>
    <row r="500">
      <c r="D500" s="86"/>
      <c r="F500" s="87"/>
    </row>
    <row r="501">
      <c r="D501" s="86"/>
      <c r="F501" s="87"/>
    </row>
    <row r="502">
      <c r="D502" s="86"/>
      <c r="F502" s="87"/>
    </row>
    <row r="503">
      <c r="D503" s="86"/>
      <c r="F503" s="87"/>
    </row>
    <row r="504">
      <c r="D504" s="86"/>
      <c r="F504" s="87"/>
    </row>
    <row r="505">
      <c r="D505" s="86"/>
      <c r="F505" s="87"/>
    </row>
    <row r="506">
      <c r="D506" s="86"/>
      <c r="F506" s="87"/>
    </row>
    <row r="507">
      <c r="D507" s="86"/>
      <c r="F507" s="87"/>
    </row>
    <row r="508">
      <c r="D508" s="86"/>
      <c r="F508" s="87"/>
    </row>
    <row r="509">
      <c r="D509" s="86"/>
      <c r="F509" s="87"/>
    </row>
    <row r="510">
      <c r="D510" s="86"/>
      <c r="F510" s="87"/>
    </row>
    <row r="511">
      <c r="D511" s="86"/>
      <c r="F511" s="87"/>
    </row>
    <row r="512">
      <c r="D512" s="86"/>
      <c r="F512" s="87"/>
    </row>
    <row r="513">
      <c r="D513" s="86"/>
      <c r="F513" s="87"/>
    </row>
    <row r="514">
      <c r="D514" s="86"/>
      <c r="F514" s="87"/>
    </row>
    <row r="515">
      <c r="D515" s="86"/>
      <c r="F515" s="87"/>
    </row>
    <row r="516">
      <c r="D516" s="86"/>
      <c r="F516" s="87"/>
    </row>
    <row r="517">
      <c r="D517" s="86"/>
      <c r="F517" s="87"/>
    </row>
    <row r="518">
      <c r="D518" s="86"/>
      <c r="F518" s="87"/>
    </row>
    <row r="519">
      <c r="D519" s="86"/>
      <c r="F519" s="87"/>
    </row>
    <row r="520">
      <c r="D520" s="86"/>
      <c r="F520" s="87"/>
    </row>
    <row r="521">
      <c r="D521" s="86"/>
      <c r="F521" s="87"/>
    </row>
    <row r="522">
      <c r="D522" s="86"/>
      <c r="F522" s="87"/>
    </row>
    <row r="523">
      <c r="D523" s="86"/>
      <c r="F523" s="87"/>
    </row>
    <row r="524">
      <c r="D524" s="86"/>
      <c r="F524" s="87"/>
    </row>
    <row r="525">
      <c r="D525" s="86"/>
      <c r="F525" s="87"/>
    </row>
    <row r="526">
      <c r="D526" s="86"/>
      <c r="F526" s="87"/>
    </row>
    <row r="527">
      <c r="D527" s="86"/>
      <c r="F527" s="87"/>
    </row>
    <row r="528">
      <c r="D528" s="86"/>
      <c r="F528" s="87"/>
    </row>
    <row r="529">
      <c r="D529" s="86"/>
      <c r="F529" s="87"/>
    </row>
    <row r="530">
      <c r="D530" s="86"/>
      <c r="F530" s="87"/>
    </row>
    <row r="531">
      <c r="D531" s="86"/>
      <c r="F531" s="87"/>
    </row>
    <row r="532">
      <c r="D532" s="86"/>
      <c r="F532" s="87"/>
    </row>
    <row r="533">
      <c r="D533" s="86"/>
      <c r="F533" s="87"/>
    </row>
    <row r="534">
      <c r="D534" s="86"/>
      <c r="F534" s="87"/>
    </row>
    <row r="535">
      <c r="D535" s="86"/>
      <c r="F535" s="87"/>
    </row>
    <row r="536">
      <c r="D536" s="86"/>
      <c r="F536" s="87"/>
    </row>
    <row r="537">
      <c r="D537" s="86"/>
      <c r="F537" s="87"/>
    </row>
    <row r="538">
      <c r="D538" s="86"/>
      <c r="F538" s="87"/>
    </row>
    <row r="539">
      <c r="D539" s="86"/>
      <c r="F539" s="87"/>
    </row>
    <row r="540">
      <c r="D540" s="86"/>
      <c r="F540" s="87"/>
    </row>
    <row r="541">
      <c r="D541" s="86"/>
      <c r="F541" s="87"/>
    </row>
    <row r="542">
      <c r="D542" s="86"/>
      <c r="F542" s="87"/>
    </row>
    <row r="543">
      <c r="D543" s="86"/>
      <c r="F543" s="87"/>
    </row>
    <row r="544">
      <c r="D544" s="86"/>
      <c r="F544" s="87"/>
    </row>
    <row r="545">
      <c r="D545" s="86"/>
      <c r="F545" s="87"/>
    </row>
    <row r="546">
      <c r="D546" s="86"/>
      <c r="F546" s="87"/>
    </row>
    <row r="547">
      <c r="D547" s="86"/>
      <c r="F547" s="87"/>
    </row>
    <row r="548">
      <c r="D548" s="86"/>
      <c r="F548" s="87"/>
    </row>
    <row r="549">
      <c r="D549" s="86"/>
      <c r="F549" s="87"/>
    </row>
    <row r="550">
      <c r="D550" s="86"/>
      <c r="F550" s="87"/>
    </row>
    <row r="551">
      <c r="D551" s="86"/>
      <c r="F551" s="87"/>
    </row>
    <row r="552">
      <c r="D552" s="86"/>
      <c r="F552" s="87"/>
    </row>
    <row r="553">
      <c r="D553" s="86"/>
      <c r="F553" s="87"/>
    </row>
    <row r="554">
      <c r="D554" s="86"/>
      <c r="F554" s="87"/>
    </row>
    <row r="555">
      <c r="D555" s="86"/>
      <c r="F555" s="87"/>
    </row>
    <row r="556">
      <c r="D556" s="86"/>
      <c r="F556" s="87"/>
    </row>
    <row r="557">
      <c r="D557" s="86"/>
      <c r="F557" s="87"/>
    </row>
    <row r="558">
      <c r="D558" s="86"/>
      <c r="F558" s="87"/>
    </row>
    <row r="559">
      <c r="D559" s="86"/>
      <c r="F559" s="87"/>
    </row>
    <row r="560">
      <c r="D560" s="86"/>
      <c r="F560" s="87"/>
    </row>
    <row r="561">
      <c r="D561" s="86"/>
      <c r="F561" s="87"/>
    </row>
    <row r="562">
      <c r="D562" s="86"/>
      <c r="F562" s="87"/>
    </row>
    <row r="563">
      <c r="D563" s="86"/>
      <c r="F563" s="87"/>
    </row>
    <row r="564">
      <c r="D564" s="86"/>
      <c r="F564" s="87"/>
    </row>
    <row r="565">
      <c r="D565" s="86"/>
      <c r="F565" s="87"/>
    </row>
    <row r="566">
      <c r="D566" s="86"/>
      <c r="F566" s="87"/>
    </row>
    <row r="567">
      <c r="D567" s="86"/>
      <c r="F567" s="87"/>
    </row>
    <row r="568">
      <c r="D568" s="86"/>
      <c r="F568" s="87"/>
    </row>
    <row r="569">
      <c r="D569" s="86"/>
      <c r="F569" s="87"/>
    </row>
    <row r="570">
      <c r="D570" s="86"/>
      <c r="F570" s="87"/>
    </row>
    <row r="571">
      <c r="D571" s="86"/>
      <c r="F571" s="87"/>
    </row>
    <row r="572">
      <c r="D572" s="86"/>
      <c r="F572" s="87"/>
    </row>
    <row r="573">
      <c r="D573" s="86"/>
      <c r="F573" s="87"/>
    </row>
    <row r="574">
      <c r="D574" s="86"/>
      <c r="F574" s="87"/>
    </row>
    <row r="575">
      <c r="D575" s="86"/>
      <c r="F575" s="87"/>
    </row>
    <row r="576">
      <c r="D576" s="86"/>
      <c r="F576" s="87"/>
    </row>
    <row r="577">
      <c r="D577" s="86"/>
      <c r="F577" s="87"/>
    </row>
    <row r="578">
      <c r="D578" s="86"/>
      <c r="F578" s="87"/>
    </row>
    <row r="579">
      <c r="D579" s="86"/>
      <c r="F579" s="87"/>
    </row>
    <row r="580">
      <c r="D580" s="86"/>
      <c r="F580" s="87"/>
    </row>
    <row r="581">
      <c r="D581" s="86"/>
      <c r="F581" s="87"/>
    </row>
    <row r="582">
      <c r="D582" s="86"/>
      <c r="F582" s="87"/>
    </row>
    <row r="583">
      <c r="D583" s="86"/>
      <c r="F583" s="87"/>
    </row>
    <row r="584">
      <c r="D584" s="86"/>
      <c r="F584" s="87"/>
    </row>
    <row r="585">
      <c r="D585" s="86"/>
      <c r="F585" s="87"/>
    </row>
    <row r="586">
      <c r="D586" s="86"/>
      <c r="F586" s="87"/>
    </row>
    <row r="587">
      <c r="D587" s="86"/>
      <c r="F587" s="87"/>
    </row>
    <row r="588">
      <c r="D588" s="86"/>
      <c r="F588" s="87"/>
    </row>
    <row r="589">
      <c r="D589" s="86"/>
      <c r="F589" s="87"/>
    </row>
    <row r="590">
      <c r="D590" s="86"/>
      <c r="F590" s="87"/>
    </row>
    <row r="591">
      <c r="D591" s="86"/>
      <c r="F591" s="87"/>
    </row>
    <row r="592">
      <c r="D592" s="86"/>
      <c r="F592" s="87"/>
    </row>
    <row r="593">
      <c r="D593" s="86"/>
      <c r="F593" s="87"/>
    </row>
    <row r="594">
      <c r="D594" s="86"/>
      <c r="F594" s="87"/>
    </row>
    <row r="595">
      <c r="D595" s="86"/>
      <c r="F595" s="87"/>
    </row>
    <row r="596">
      <c r="D596" s="86"/>
      <c r="F596" s="87"/>
    </row>
    <row r="597">
      <c r="D597" s="86"/>
      <c r="F597" s="87"/>
    </row>
    <row r="598">
      <c r="D598" s="86"/>
      <c r="F598" s="87"/>
    </row>
    <row r="599">
      <c r="D599" s="86"/>
      <c r="F599" s="87"/>
    </row>
    <row r="600">
      <c r="D600" s="86"/>
      <c r="F600" s="87"/>
    </row>
    <row r="601">
      <c r="D601" s="86"/>
      <c r="F601" s="87"/>
    </row>
    <row r="602">
      <c r="D602" s="86"/>
      <c r="F602" s="87"/>
    </row>
    <row r="603">
      <c r="D603" s="86"/>
      <c r="F603" s="87"/>
    </row>
    <row r="604">
      <c r="D604" s="86"/>
      <c r="F604" s="87"/>
    </row>
    <row r="605">
      <c r="D605" s="86"/>
      <c r="F605" s="87"/>
    </row>
    <row r="606">
      <c r="D606" s="86"/>
      <c r="F606" s="87"/>
    </row>
    <row r="607">
      <c r="D607" s="86"/>
      <c r="F607" s="87"/>
    </row>
    <row r="608">
      <c r="D608" s="86"/>
      <c r="F608" s="87"/>
    </row>
    <row r="609">
      <c r="D609" s="86"/>
      <c r="F609" s="87"/>
    </row>
    <row r="610">
      <c r="D610" s="86"/>
      <c r="F610" s="87"/>
    </row>
    <row r="611">
      <c r="D611" s="86"/>
      <c r="F611" s="87"/>
    </row>
    <row r="612">
      <c r="D612" s="86"/>
      <c r="F612" s="87"/>
    </row>
    <row r="613">
      <c r="D613" s="86"/>
      <c r="F613" s="87"/>
    </row>
    <row r="614">
      <c r="D614" s="86"/>
      <c r="F614" s="87"/>
    </row>
    <row r="615">
      <c r="D615" s="86"/>
      <c r="F615" s="87"/>
    </row>
    <row r="616">
      <c r="D616" s="86"/>
      <c r="F616" s="87"/>
    </row>
    <row r="617">
      <c r="D617" s="86"/>
      <c r="F617" s="87"/>
    </row>
    <row r="618">
      <c r="D618" s="86"/>
      <c r="F618" s="87"/>
    </row>
    <row r="619">
      <c r="D619" s="86"/>
      <c r="F619" s="87"/>
    </row>
    <row r="620">
      <c r="D620" s="86"/>
      <c r="F620" s="87"/>
    </row>
    <row r="621">
      <c r="D621" s="86"/>
      <c r="F621" s="87"/>
    </row>
    <row r="622">
      <c r="D622" s="86"/>
      <c r="F622" s="87"/>
    </row>
    <row r="623">
      <c r="D623" s="86"/>
      <c r="F623" s="87"/>
    </row>
    <row r="624">
      <c r="D624" s="86"/>
      <c r="F624" s="87"/>
    </row>
    <row r="625">
      <c r="D625" s="86"/>
      <c r="F625" s="87"/>
    </row>
    <row r="626">
      <c r="D626" s="86"/>
      <c r="F626" s="87"/>
    </row>
    <row r="627">
      <c r="D627" s="86"/>
      <c r="F627" s="87"/>
    </row>
    <row r="628">
      <c r="D628" s="86"/>
      <c r="F628" s="87"/>
    </row>
    <row r="629">
      <c r="D629" s="86"/>
      <c r="F629" s="87"/>
    </row>
    <row r="630">
      <c r="D630" s="86"/>
      <c r="F630" s="87"/>
    </row>
    <row r="631">
      <c r="D631" s="86"/>
      <c r="F631" s="87"/>
    </row>
    <row r="632">
      <c r="D632" s="86"/>
      <c r="F632" s="87"/>
    </row>
    <row r="633">
      <c r="D633" s="86"/>
      <c r="F633" s="87"/>
    </row>
    <row r="634">
      <c r="D634" s="86"/>
      <c r="F634" s="87"/>
    </row>
    <row r="635">
      <c r="D635" s="86"/>
      <c r="F635" s="87"/>
    </row>
    <row r="636">
      <c r="D636" s="86"/>
      <c r="F636" s="87"/>
    </row>
    <row r="637">
      <c r="D637" s="86"/>
      <c r="F637" s="87"/>
    </row>
    <row r="638">
      <c r="D638" s="86"/>
      <c r="F638" s="87"/>
    </row>
    <row r="639">
      <c r="D639" s="86"/>
      <c r="F639" s="87"/>
    </row>
    <row r="640">
      <c r="D640" s="86"/>
      <c r="F640" s="87"/>
    </row>
    <row r="641">
      <c r="D641" s="86"/>
      <c r="F641" s="87"/>
    </row>
    <row r="642">
      <c r="D642" s="86"/>
      <c r="F642" s="87"/>
    </row>
    <row r="643">
      <c r="D643" s="86"/>
      <c r="F643" s="87"/>
    </row>
    <row r="644">
      <c r="D644" s="86"/>
      <c r="F644" s="87"/>
    </row>
    <row r="645">
      <c r="D645" s="86"/>
      <c r="F645" s="87"/>
    </row>
    <row r="646">
      <c r="D646" s="86"/>
      <c r="F646" s="87"/>
    </row>
    <row r="647">
      <c r="D647" s="86"/>
      <c r="F647" s="87"/>
    </row>
    <row r="648">
      <c r="D648" s="86"/>
      <c r="F648" s="87"/>
    </row>
    <row r="649">
      <c r="D649" s="86"/>
      <c r="F649" s="87"/>
    </row>
    <row r="650">
      <c r="D650" s="86"/>
      <c r="F650" s="87"/>
    </row>
    <row r="651">
      <c r="D651" s="86"/>
      <c r="F651" s="87"/>
    </row>
    <row r="652">
      <c r="D652" s="86"/>
      <c r="F652" s="87"/>
    </row>
    <row r="653">
      <c r="D653" s="86"/>
      <c r="F653" s="87"/>
    </row>
    <row r="654">
      <c r="D654" s="86"/>
      <c r="F654" s="87"/>
    </row>
    <row r="655">
      <c r="D655" s="86"/>
      <c r="F655" s="87"/>
    </row>
    <row r="656">
      <c r="D656" s="86"/>
      <c r="F656" s="87"/>
    </row>
    <row r="657">
      <c r="D657" s="86"/>
      <c r="F657" s="87"/>
    </row>
    <row r="658">
      <c r="D658" s="86"/>
      <c r="F658" s="87"/>
    </row>
    <row r="659">
      <c r="D659" s="86"/>
      <c r="F659" s="87"/>
    </row>
    <row r="660">
      <c r="D660" s="86"/>
      <c r="F660" s="87"/>
    </row>
    <row r="661">
      <c r="D661" s="86"/>
      <c r="F661" s="87"/>
    </row>
    <row r="662">
      <c r="D662" s="86"/>
      <c r="F662" s="87"/>
    </row>
    <row r="663">
      <c r="D663" s="86"/>
      <c r="F663" s="87"/>
    </row>
    <row r="664">
      <c r="D664" s="86"/>
      <c r="F664" s="87"/>
    </row>
    <row r="665">
      <c r="D665" s="86"/>
      <c r="F665" s="87"/>
    </row>
    <row r="666">
      <c r="D666" s="86"/>
      <c r="F666" s="87"/>
    </row>
    <row r="667">
      <c r="D667" s="86"/>
      <c r="F667" s="87"/>
    </row>
    <row r="668">
      <c r="D668" s="86"/>
      <c r="F668" s="87"/>
    </row>
    <row r="669">
      <c r="D669" s="86"/>
      <c r="F669" s="87"/>
    </row>
    <row r="670">
      <c r="D670" s="86"/>
      <c r="F670" s="87"/>
    </row>
    <row r="671">
      <c r="D671" s="86"/>
      <c r="F671" s="87"/>
    </row>
    <row r="672">
      <c r="D672" s="86"/>
      <c r="F672" s="87"/>
    </row>
    <row r="673">
      <c r="D673" s="86"/>
      <c r="F673" s="87"/>
    </row>
    <row r="674">
      <c r="D674" s="86"/>
      <c r="F674" s="87"/>
    </row>
    <row r="675">
      <c r="D675" s="86"/>
      <c r="F675" s="87"/>
    </row>
    <row r="676">
      <c r="D676" s="86"/>
      <c r="F676" s="87"/>
    </row>
    <row r="677">
      <c r="D677" s="86"/>
      <c r="F677" s="87"/>
    </row>
    <row r="678">
      <c r="D678" s="86"/>
      <c r="F678" s="87"/>
    </row>
    <row r="679">
      <c r="D679" s="86"/>
      <c r="F679" s="87"/>
    </row>
    <row r="680">
      <c r="D680" s="86"/>
      <c r="F680" s="87"/>
    </row>
    <row r="681">
      <c r="D681" s="86"/>
      <c r="F681" s="87"/>
    </row>
    <row r="682">
      <c r="D682" s="86"/>
      <c r="F682" s="87"/>
    </row>
    <row r="683">
      <c r="D683" s="86"/>
      <c r="F683" s="87"/>
    </row>
    <row r="684">
      <c r="D684" s="86"/>
      <c r="F684" s="87"/>
    </row>
    <row r="685">
      <c r="D685" s="86"/>
      <c r="F685" s="87"/>
    </row>
    <row r="686">
      <c r="D686" s="86"/>
      <c r="F686" s="87"/>
    </row>
    <row r="687">
      <c r="D687" s="86"/>
      <c r="F687" s="87"/>
    </row>
    <row r="688">
      <c r="D688" s="86"/>
      <c r="F688" s="87"/>
    </row>
    <row r="689">
      <c r="D689" s="86"/>
      <c r="F689" s="87"/>
    </row>
    <row r="690">
      <c r="D690" s="86"/>
      <c r="F690" s="87"/>
    </row>
    <row r="691">
      <c r="D691" s="86"/>
      <c r="F691" s="87"/>
    </row>
    <row r="692">
      <c r="D692" s="86"/>
      <c r="F692" s="87"/>
    </row>
    <row r="693">
      <c r="D693" s="86"/>
      <c r="F693" s="87"/>
    </row>
    <row r="694">
      <c r="D694" s="86"/>
      <c r="F694" s="87"/>
    </row>
    <row r="695">
      <c r="D695" s="86"/>
      <c r="F695" s="87"/>
    </row>
    <row r="696">
      <c r="D696" s="86"/>
      <c r="F696" s="87"/>
    </row>
    <row r="697">
      <c r="D697" s="86"/>
      <c r="F697" s="87"/>
    </row>
    <row r="698">
      <c r="D698" s="86"/>
      <c r="F698" s="87"/>
    </row>
    <row r="699">
      <c r="D699" s="86"/>
      <c r="F699" s="87"/>
    </row>
    <row r="700">
      <c r="D700" s="86"/>
      <c r="F700" s="87"/>
    </row>
    <row r="701">
      <c r="D701" s="86"/>
      <c r="F701" s="87"/>
    </row>
    <row r="702">
      <c r="D702" s="86"/>
      <c r="F702" s="87"/>
    </row>
    <row r="703">
      <c r="D703" s="86"/>
      <c r="F703" s="87"/>
    </row>
    <row r="704">
      <c r="D704" s="86"/>
      <c r="F704" s="87"/>
    </row>
    <row r="705">
      <c r="D705" s="86"/>
      <c r="F705" s="87"/>
    </row>
    <row r="706">
      <c r="D706" s="86"/>
      <c r="F706" s="87"/>
    </row>
    <row r="707">
      <c r="D707" s="86"/>
      <c r="F707" s="87"/>
    </row>
    <row r="708">
      <c r="D708" s="86"/>
      <c r="F708" s="87"/>
    </row>
    <row r="709">
      <c r="D709" s="86"/>
      <c r="F709" s="87"/>
    </row>
    <row r="710">
      <c r="D710" s="86"/>
      <c r="F710" s="87"/>
    </row>
    <row r="711">
      <c r="D711" s="86"/>
      <c r="F711" s="87"/>
    </row>
    <row r="712">
      <c r="D712" s="86"/>
      <c r="F712" s="87"/>
    </row>
    <row r="713">
      <c r="D713" s="86"/>
      <c r="F713" s="87"/>
    </row>
    <row r="714">
      <c r="D714" s="86"/>
      <c r="F714" s="87"/>
    </row>
    <row r="715">
      <c r="D715" s="86"/>
      <c r="F715" s="87"/>
    </row>
    <row r="716">
      <c r="D716" s="86"/>
      <c r="F716" s="87"/>
    </row>
    <row r="717">
      <c r="D717" s="86"/>
      <c r="F717" s="87"/>
    </row>
    <row r="718">
      <c r="D718" s="86"/>
      <c r="F718" s="87"/>
    </row>
    <row r="719">
      <c r="D719" s="86"/>
      <c r="F719" s="87"/>
    </row>
    <row r="720">
      <c r="D720" s="86"/>
      <c r="F720" s="87"/>
    </row>
    <row r="721">
      <c r="D721" s="86"/>
      <c r="F721" s="87"/>
    </row>
    <row r="722">
      <c r="D722" s="86"/>
      <c r="F722" s="87"/>
    </row>
    <row r="723">
      <c r="D723" s="86"/>
      <c r="F723" s="87"/>
    </row>
    <row r="724">
      <c r="D724" s="86"/>
      <c r="F724" s="87"/>
    </row>
    <row r="725">
      <c r="D725" s="86"/>
      <c r="F725" s="87"/>
    </row>
    <row r="726">
      <c r="D726" s="86"/>
      <c r="F726" s="87"/>
    </row>
    <row r="727">
      <c r="D727" s="86"/>
      <c r="F727" s="87"/>
    </row>
    <row r="728">
      <c r="D728" s="86"/>
      <c r="F728" s="87"/>
    </row>
    <row r="729">
      <c r="D729" s="86"/>
      <c r="F729" s="87"/>
    </row>
    <row r="730">
      <c r="D730" s="86"/>
      <c r="F730" s="87"/>
    </row>
    <row r="731">
      <c r="D731" s="86"/>
      <c r="F731" s="87"/>
    </row>
    <row r="732">
      <c r="D732" s="86"/>
      <c r="F732" s="87"/>
    </row>
    <row r="733">
      <c r="D733" s="86"/>
      <c r="F733" s="87"/>
    </row>
    <row r="734">
      <c r="D734" s="86"/>
      <c r="F734" s="87"/>
    </row>
    <row r="735">
      <c r="D735" s="86"/>
      <c r="F735" s="87"/>
    </row>
    <row r="736">
      <c r="D736" s="86"/>
      <c r="F736" s="87"/>
    </row>
    <row r="737">
      <c r="D737" s="86"/>
      <c r="F737" s="87"/>
    </row>
    <row r="738">
      <c r="D738" s="86"/>
      <c r="F738" s="87"/>
    </row>
    <row r="739">
      <c r="D739" s="86"/>
      <c r="F739" s="87"/>
    </row>
    <row r="740">
      <c r="D740" s="86"/>
      <c r="F740" s="87"/>
    </row>
    <row r="741">
      <c r="D741" s="86"/>
      <c r="F741" s="87"/>
    </row>
    <row r="742">
      <c r="D742" s="86"/>
      <c r="F742" s="87"/>
    </row>
    <row r="743">
      <c r="D743" s="86"/>
      <c r="F743" s="87"/>
    </row>
    <row r="744">
      <c r="D744" s="86"/>
      <c r="F744" s="87"/>
    </row>
    <row r="745">
      <c r="D745" s="86"/>
      <c r="F745" s="87"/>
    </row>
    <row r="746">
      <c r="D746" s="86"/>
      <c r="F746" s="87"/>
    </row>
    <row r="747">
      <c r="D747" s="86"/>
      <c r="F747" s="87"/>
    </row>
    <row r="748">
      <c r="D748" s="86"/>
      <c r="F748" s="87"/>
    </row>
    <row r="749">
      <c r="D749" s="86"/>
      <c r="F749" s="87"/>
    </row>
    <row r="750">
      <c r="D750" s="86"/>
      <c r="F750" s="87"/>
    </row>
    <row r="751">
      <c r="D751" s="86"/>
      <c r="F751" s="87"/>
    </row>
    <row r="752">
      <c r="D752" s="86"/>
      <c r="F752" s="87"/>
    </row>
    <row r="753">
      <c r="D753" s="86"/>
      <c r="F753" s="87"/>
    </row>
    <row r="754">
      <c r="D754" s="86"/>
      <c r="F754" s="87"/>
    </row>
    <row r="755">
      <c r="D755" s="86"/>
      <c r="F755" s="87"/>
    </row>
    <row r="756">
      <c r="D756" s="86"/>
      <c r="F756" s="87"/>
    </row>
    <row r="757">
      <c r="D757" s="86"/>
      <c r="F757" s="87"/>
    </row>
    <row r="758">
      <c r="D758" s="86"/>
      <c r="F758" s="87"/>
    </row>
    <row r="759">
      <c r="D759" s="86"/>
      <c r="F759" s="87"/>
    </row>
    <row r="760">
      <c r="D760" s="86"/>
      <c r="F760" s="87"/>
    </row>
    <row r="761">
      <c r="D761" s="86"/>
      <c r="F761" s="87"/>
    </row>
    <row r="762">
      <c r="D762" s="86"/>
      <c r="F762" s="87"/>
    </row>
    <row r="763">
      <c r="D763" s="86"/>
      <c r="F763" s="87"/>
    </row>
    <row r="764">
      <c r="D764" s="86"/>
      <c r="F764" s="87"/>
    </row>
    <row r="765">
      <c r="D765" s="86"/>
      <c r="F765" s="87"/>
    </row>
    <row r="766">
      <c r="D766" s="86"/>
      <c r="F766" s="87"/>
    </row>
    <row r="767">
      <c r="D767" s="86"/>
      <c r="F767" s="87"/>
    </row>
    <row r="768">
      <c r="D768" s="86"/>
      <c r="F768" s="87"/>
    </row>
    <row r="769">
      <c r="D769" s="86"/>
      <c r="F769" s="87"/>
    </row>
    <row r="770">
      <c r="D770" s="86"/>
      <c r="F770" s="87"/>
    </row>
    <row r="771">
      <c r="D771" s="86"/>
      <c r="F771" s="87"/>
    </row>
    <row r="772">
      <c r="D772" s="86"/>
      <c r="F772" s="87"/>
    </row>
    <row r="773">
      <c r="D773" s="86"/>
      <c r="F773" s="87"/>
    </row>
    <row r="774">
      <c r="D774" s="86"/>
      <c r="F774" s="87"/>
    </row>
    <row r="775">
      <c r="D775" s="86"/>
      <c r="F775" s="87"/>
    </row>
    <row r="776">
      <c r="D776" s="86"/>
      <c r="F776" s="87"/>
    </row>
    <row r="777">
      <c r="D777" s="86"/>
      <c r="F777" s="87"/>
    </row>
    <row r="778">
      <c r="D778" s="86"/>
      <c r="F778" s="87"/>
    </row>
    <row r="779">
      <c r="D779" s="86"/>
      <c r="F779" s="87"/>
    </row>
    <row r="780">
      <c r="D780" s="86"/>
      <c r="F780" s="87"/>
    </row>
    <row r="781">
      <c r="D781" s="86"/>
      <c r="F781" s="87"/>
    </row>
    <row r="782">
      <c r="D782" s="86"/>
      <c r="F782" s="87"/>
    </row>
    <row r="783">
      <c r="D783" s="86"/>
      <c r="F783" s="87"/>
    </row>
    <row r="784">
      <c r="D784" s="86"/>
      <c r="F784" s="87"/>
    </row>
    <row r="785">
      <c r="D785" s="86"/>
      <c r="F785" s="87"/>
    </row>
    <row r="786">
      <c r="D786" s="86"/>
      <c r="F786" s="87"/>
    </row>
    <row r="787">
      <c r="D787" s="86"/>
      <c r="F787" s="87"/>
    </row>
    <row r="788">
      <c r="D788" s="86"/>
      <c r="F788" s="87"/>
    </row>
    <row r="789">
      <c r="D789" s="86"/>
      <c r="F789" s="87"/>
    </row>
    <row r="790">
      <c r="D790" s="86"/>
      <c r="F790" s="87"/>
    </row>
    <row r="791">
      <c r="D791" s="86"/>
      <c r="F791" s="87"/>
    </row>
    <row r="792">
      <c r="D792" s="86"/>
      <c r="F792" s="87"/>
    </row>
    <row r="793">
      <c r="D793" s="86"/>
      <c r="F793" s="87"/>
    </row>
    <row r="794">
      <c r="D794" s="86"/>
      <c r="F794" s="87"/>
    </row>
    <row r="795">
      <c r="D795" s="86"/>
      <c r="F795" s="87"/>
    </row>
    <row r="796">
      <c r="D796" s="86"/>
      <c r="F796" s="87"/>
    </row>
    <row r="797">
      <c r="D797" s="86"/>
      <c r="F797" s="87"/>
    </row>
    <row r="798">
      <c r="D798" s="86"/>
      <c r="F798" s="87"/>
    </row>
    <row r="799">
      <c r="D799" s="86"/>
      <c r="F799" s="87"/>
    </row>
    <row r="800">
      <c r="D800" s="86"/>
      <c r="F800" s="87"/>
    </row>
    <row r="801">
      <c r="D801" s="86"/>
      <c r="F801" s="87"/>
    </row>
    <row r="802">
      <c r="D802" s="86"/>
      <c r="F802" s="87"/>
    </row>
    <row r="803">
      <c r="D803" s="86"/>
      <c r="F803" s="87"/>
    </row>
    <row r="804">
      <c r="D804" s="86"/>
      <c r="F804" s="87"/>
    </row>
    <row r="805">
      <c r="D805" s="86"/>
      <c r="F805" s="87"/>
    </row>
    <row r="806">
      <c r="D806" s="86"/>
      <c r="F806" s="87"/>
    </row>
    <row r="807">
      <c r="D807" s="86"/>
      <c r="F807" s="87"/>
    </row>
    <row r="808">
      <c r="D808" s="86"/>
      <c r="F808" s="87"/>
    </row>
    <row r="809">
      <c r="D809" s="86"/>
      <c r="F809" s="87"/>
    </row>
    <row r="810">
      <c r="D810" s="86"/>
      <c r="F810" s="87"/>
    </row>
    <row r="811">
      <c r="D811" s="86"/>
      <c r="F811" s="87"/>
    </row>
    <row r="812">
      <c r="D812" s="86"/>
      <c r="F812" s="87"/>
    </row>
    <row r="813">
      <c r="D813" s="86"/>
      <c r="F813" s="87"/>
    </row>
    <row r="814">
      <c r="D814" s="86"/>
      <c r="F814" s="87"/>
    </row>
    <row r="815">
      <c r="D815" s="86"/>
      <c r="F815" s="87"/>
    </row>
    <row r="816">
      <c r="D816" s="86"/>
      <c r="F816" s="87"/>
    </row>
    <row r="817">
      <c r="D817" s="86"/>
      <c r="F817" s="87"/>
    </row>
    <row r="818">
      <c r="D818" s="86"/>
      <c r="F818" s="87"/>
    </row>
    <row r="819">
      <c r="D819" s="86"/>
      <c r="F819" s="87"/>
    </row>
    <row r="820">
      <c r="D820" s="86"/>
      <c r="F820" s="87"/>
    </row>
    <row r="821">
      <c r="D821" s="86"/>
      <c r="F821" s="87"/>
    </row>
    <row r="822">
      <c r="D822" s="86"/>
      <c r="F822" s="87"/>
    </row>
    <row r="823">
      <c r="D823" s="86"/>
      <c r="F823" s="87"/>
    </row>
    <row r="824">
      <c r="D824" s="86"/>
      <c r="F824" s="87"/>
    </row>
    <row r="825">
      <c r="D825" s="86"/>
      <c r="F825" s="87"/>
    </row>
    <row r="826">
      <c r="D826" s="86"/>
      <c r="F826" s="87"/>
    </row>
    <row r="827">
      <c r="D827" s="86"/>
      <c r="F827" s="87"/>
    </row>
    <row r="828">
      <c r="D828" s="86"/>
      <c r="F828" s="87"/>
    </row>
    <row r="829">
      <c r="D829" s="86"/>
      <c r="F829" s="87"/>
    </row>
    <row r="830">
      <c r="D830" s="86"/>
      <c r="F830" s="87"/>
    </row>
    <row r="831">
      <c r="D831" s="86"/>
      <c r="F831" s="87"/>
    </row>
    <row r="832">
      <c r="D832" s="86"/>
      <c r="F832" s="87"/>
    </row>
    <row r="833">
      <c r="D833" s="86"/>
      <c r="F833" s="87"/>
    </row>
    <row r="834">
      <c r="D834" s="86"/>
      <c r="F834" s="87"/>
    </row>
    <row r="835">
      <c r="D835" s="86"/>
      <c r="F835" s="87"/>
    </row>
    <row r="836">
      <c r="D836" s="86"/>
      <c r="F836" s="87"/>
    </row>
    <row r="837">
      <c r="D837" s="86"/>
      <c r="F837" s="87"/>
    </row>
    <row r="838">
      <c r="D838" s="86"/>
      <c r="F838" s="87"/>
    </row>
    <row r="839">
      <c r="D839" s="86"/>
      <c r="F839" s="87"/>
    </row>
    <row r="840">
      <c r="D840" s="86"/>
      <c r="F840" s="87"/>
    </row>
    <row r="841">
      <c r="D841" s="86"/>
      <c r="F841" s="87"/>
    </row>
    <row r="842">
      <c r="D842" s="86"/>
      <c r="F842" s="87"/>
    </row>
    <row r="843">
      <c r="D843" s="86"/>
      <c r="F843" s="87"/>
    </row>
    <row r="844">
      <c r="D844" s="86"/>
      <c r="F844" s="87"/>
    </row>
    <row r="845">
      <c r="D845" s="86"/>
      <c r="F845" s="87"/>
    </row>
    <row r="846">
      <c r="D846" s="86"/>
      <c r="F846" s="87"/>
    </row>
    <row r="847">
      <c r="D847" s="86"/>
      <c r="F847" s="87"/>
    </row>
    <row r="848">
      <c r="D848" s="86"/>
      <c r="F848" s="87"/>
    </row>
    <row r="849">
      <c r="D849" s="86"/>
      <c r="F849" s="87"/>
    </row>
    <row r="850">
      <c r="D850" s="86"/>
      <c r="F850" s="87"/>
    </row>
    <row r="851">
      <c r="D851" s="86"/>
      <c r="F851" s="87"/>
    </row>
    <row r="852">
      <c r="D852" s="86"/>
      <c r="F852" s="87"/>
    </row>
    <row r="853">
      <c r="D853" s="86"/>
      <c r="F853" s="87"/>
    </row>
    <row r="854">
      <c r="D854" s="86"/>
      <c r="F854" s="87"/>
    </row>
    <row r="855">
      <c r="D855" s="86"/>
      <c r="F855" s="87"/>
    </row>
    <row r="856">
      <c r="D856" s="86"/>
      <c r="F856" s="87"/>
    </row>
    <row r="857">
      <c r="D857" s="86"/>
      <c r="F857" s="87"/>
    </row>
    <row r="858">
      <c r="D858" s="86"/>
      <c r="F858" s="87"/>
    </row>
    <row r="859">
      <c r="D859" s="86"/>
      <c r="F859" s="87"/>
    </row>
    <row r="860">
      <c r="D860" s="86"/>
      <c r="F860" s="87"/>
    </row>
    <row r="861">
      <c r="D861" s="86"/>
      <c r="F861" s="87"/>
    </row>
    <row r="862">
      <c r="D862" s="86"/>
      <c r="F862" s="87"/>
    </row>
    <row r="863">
      <c r="D863" s="86"/>
      <c r="F863" s="87"/>
    </row>
    <row r="864">
      <c r="D864" s="86"/>
      <c r="F864" s="87"/>
    </row>
    <row r="865">
      <c r="D865" s="86"/>
      <c r="F865" s="87"/>
    </row>
    <row r="866">
      <c r="D866" s="86"/>
      <c r="F866" s="87"/>
    </row>
    <row r="867">
      <c r="D867" s="86"/>
      <c r="F867" s="87"/>
    </row>
    <row r="868">
      <c r="D868" s="86"/>
      <c r="F868" s="87"/>
    </row>
    <row r="869">
      <c r="D869" s="86"/>
      <c r="F869" s="87"/>
    </row>
    <row r="870">
      <c r="D870" s="86"/>
      <c r="F870" s="87"/>
    </row>
    <row r="871">
      <c r="D871" s="86"/>
      <c r="F871" s="87"/>
    </row>
    <row r="872">
      <c r="D872" s="86"/>
      <c r="F872" s="87"/>
    </row>
    <row r="873">
      <c r="D873" s="86"/>
      <c r="F873" s="87"/>
    </row>
    <row r="874">
      <c r="D874" s="86"/>
      <c r="F874" s="87"/>
    </row>
    <row r="875">
      <c r="D875" s="86"/>
      <c r="F875" s="87"/>
    </row>
    <row r="876">
      <c r="D876" s="86"/>
      <c r="F876" s="87"/>
    </row>
    <row r="877">
      <c r="D877" s="86"/>
      <c r="F877" s="87"/>
    </row>
    <row r="878">
      <c r="D878" s="86"/>
      <c r="F878" s="87"/>
    </row>
    <row r="879">
      <c r="D879" s="86"/>
      <c r="F879" s="87"/>
    </row>
    <row r="880">
      <c r="D880" s="86"/>
      <c r="F880" s="87"/>
    </row>
    <row r="881">
      <c r="D881" s="86"/>
      <c r="F881" s="87"/>
    </row>
    <row r="882">
      <c r="D882" s="86"/>
      <c r="F882" s="87"/>
    </row>
    <row r="883">
      <c r="D883" s="86"/>
      <c r="F883" s="87"/>
    </row>
    <row r="884">
      <c r="D884" s="86"/>
      <c r="F884" s="87"/>
    </row>
    <row r="885">
      <c r="D885" s="86"/>
      <c r="F885" s="87"/>
    </row>
    <row r="886">
      <c r="D886" s="86"/>
      <c r="F886" s="87"/>
    </row>
    <row r="887">
      <c r="D887" s="86"/>
      <c r="F887" s="87"/>
    </row>
    <row r="888">
      <c r="D888" s="86"/>
      <c r="F888" s="87"/>
    </row>
    <row r="889">
      <c r="D889" s="86"/>
      <c r="F889" s="87"/>
    </row>
    <row r="890">
      <c r="D890" s="86"/>
      <c r="F890" s="87"/>
    </row>
    <row r="891">
      <c r="D891" s="86"/>
      <c r="F891" s="87"/>
    </row>
    <row r="892">
      <c r="D892" s="86"/>
      <c r="F892" s="87"/>
    </row>
    <row r="893">
      <c r="D893" s="86"/>
      <c r="F893" s="87"/>
    </row>
    <row r="894">
      <c r="D894" s="86"/>
      <c r="F894" s="87"/>
    </row>
    <row r="895">
      <c r="D895" s="86"/>
      <c r="F895" s="87"/>
    </row>
    <row r="896">
      <c r="D896" s="86"/>
      <c r="F896" s="87"/>
    </row>
    <row r="897">
      <c r="D897" s="86"/>
      <c r="F897" s="87"/>
    </row>
    <row r="898">
      <c r="D898" s="86"/>
      <c r="F898" s="87"/>
    </row>
    <row r="899">
      <c r="D899" s="86"/>
      <c r="F899" s="87"/>
    </row>
    <row r="900">
      <c r="D900" s="86"/>
      <c r="F900" s="87"/>
    </row>
    <row r="901">
      <c r="D901" s="86"/>
      <c r="F901" s="87"/>
    </row>
    <row r="902">
      <c r="D902" s="86"/>
      <c r="F902" s="87"/>
    </row>
    <row r="903">
      <c r="D903" s="86"/>
      <c r="F903" s="87"/>
    </row>
    <row r="904">
      <c r="D904" s="86"/>
      <c r="F904" s="87"/>
    </row>
    <row r="905">
      <c r="D905" s="86"/>
      <c r="F905" s="87"/>
    </row>
    <row r="906">
      <c r="D906" s="86"/>
      <c r="F906" s="87"/>
    </row>
    <row r="907">
      <c r="D907" s="86"/>
      <c r="F907" s="87"/>
    </row>
    <row r="908">
      <c r="D908" s="86"/>
      <c r="F908" s="87"/>
    </row>
    <row r="909">
      <c r="D909" s="86"/>
      <c r="F909" s="87"/>
    </row>
    <row r="910">
      <c r="D910" s="86"/>
      <c r="F910" s="87"/>
    </row>
    <row r="911">
      <c r="D911" s="86"/>
      <c r="F911" s="87"/>
    </row>
    <row r="912">
      <c r="D912" s="86"/>
      <c r="F912" s="87"/>
    </row>
    <row r="913">
      <c r="D913" s="86"/>
      <c r="F913" s="87"/>
    </row>
    <row r="914">
      <c r="D914" s="86"/>
      <c r="F914" s="87"/>
    </row>
    <row r="915">
      <c r="D915" s="86"/>
      <c r="F915" s="87"/>
    </row>
    <row r="916">
      <c r="D916" s="86"/>
      <c r="F916" s="87"/>
    </row>
    <row r="917">
      <c r="D917" s="86"/>
      <c r="F917" s="87"/>
    </row>
    <row r="918">
      <c r="D918" s="86"/>
      <c r="F918" s="87"/>
    </row>
    <row r="919">
      <c r="D919" s="86"/>
      <c r="F919" s="87"/>
    </row>
    <row r="920">
      <c r="D920" s="86"/>
      <c r="F920" s="87"/>
    </row>
    <row r="921">
      <c r="D921" s="86"/>
      <c r="F921" s="87"/>
    </row>
    <row r="922">
      <c r="D922" s="86"/>
      <c r="F922" s="87"/>
    </row>
    <row r="923">
      <c r="D923" s="86"/>
      <c r="F923" s="87"/>
    </row>
    <row r="924">
      <c r="D924" s="86"/>
      <c r="F924" s="87"/>
    </row>
    <row r="925">
      <c r="D925" s="86"/>
      <c r="F925" s="87"/>
    </row>
    <row r="926">
      <c r="D926" s="86"/>
      <c r="F926" s="87"/>
    </row>
    <row r="927">
      <c r="D927" s="86"/>
      <c r="F927" s="87"/>
    </row>
    <row r="928">
      <c r="D928" s="86"/>
      <c r="F928" s="87"/>
    </row>
    <row r="929">
      <c r="D929" s="86"/>
      <c r="F929" s="87"/>
    </row>
    <row r="930">
      <c r="D930" s="86"/>
      <c r="F930" s="87"/>
    </row>
    <row r="931">
      <c r="D931" s="86"/>
      <c r="F931" s="87"/>
    </row>
    <row r="932">
      <c r="D932" s="86"/>
      <c r="F932" s="87"/>
    </row>
    <row r="933">
      <c r="D933" s="86"/>
      <c r="F933" s="87"/>
    </row>
    <row r="934">
      <c r="D934" s="86"/>
      <c r="F934" s="87"/>
    </row>
    <row r="935">
      <c r="D935" s="86"/>
      <c r="F935" s="87"/>
    </row>
    <row r="936">
      <c r="D936" s="86"/>
      <c r="F936" s="87"/>
    </row>
    <row r="937">
      <c r="D937" s="86"/>
      <c r="F937" s="87"/>
    </row>
    <row r="938">
      <c r="D938" s="86"/>
      <c r="F938" s="87"/>
    </row>
    <row r="939">
      <c r="D939" s="86"/>
      <c r="F939" s="87"/>
    </row>
    <row r="940">
      <c r="D940" s="86"/>
      <c r="F940" s="87"/>
    </row>
    <row r="941">
      <c r="D941" s="86"/>
      <c r="F941" s="87"/>
    </row>
    <row r="942">
      <c r="D942" s="86"/>
      <c r="F942" s="87"/>
    </row>
    <row r="943">
      <c r="D943" s="86"/>
      <c r="F943" s="87"/>
    </row>
    <row r="944">
      <c r="D944" s="86"/>
      <c r="F944" s="87"/>
    </row>
    <row r="945">
      <c r="D945" s="86"/>
      <c r="F945" s="87"/>
    </row>
    <row r="946">
      <c r="D946" s="86"/>
      <c r="F946" s="87"/>
    </row>
    <row r="947">
      <c r="D947" s="86"/>
      <c r="F947" s="87"/>
    </row>
    <row r="948">
      <c r="D948" s="86"/>
      <c r="F948" s="87"/>
    </row>
    <row r="949">
      <c r="D949" s="86"/>
      <c r="F949" s="87"/>
    </row>
    <row r="950">
      <c r="D950" s="86"/>
      <c r="F950" s="87"/>
    </row>
    <row r="951">
      <c r="D951" s="86"/>
      <c r="F951" s="87"/>
    </row>
    <row r="952">
      <c r="D952" s="86"/>
      <c r="F952" s="87"/>
    </row>
    <row r="953">
      <c r="D953" s="86"/>
      <c r="F953" s="87"/>
    </row>
    <row r="954">
      <c r="D954" s="86"/>
      <c r="F954" s="87"/>
    </row>
    <row r="955">
      <c r="D955" s="86"/>
      <c r="F955" s="87"/>
    </row>
    <row r="956">
      <c r="D956" s="86"/>
      <c r="F956" s="87"/>
    </row>
    <row r="957">
      <c r="D957" s="86"/>
      <c r="F957" s="87"/>
    </row>
    <row r="958">
      <c r="D958" s="86"/>
      <c r="F958" s="87"/>
    </row>
    <row r="959">
      <c r="D959" s="86"/>
      <c r="F959" s="87"/>
    </row>
    <row r="960">
      <c r="D960" s="86"/>
      <c r="F960" s="87"/>
    </row>
    <row r="961">
      <c r="D961" s="86"/>
      <c r="F961" s="87"/>
    </row>
    <row r="962">
      <c r="D962" s="86"/>
      <c r="F962" s="87"/>
    </row>
    <row r="963">
      <c r="D963" s="86"/>
      <c r="F963" s="87"/>
    </row>
    <row r="964">
      <c r="D964" s="86"/>
      <c r="F964" s="87"/>
    </row>
    <row r="965">
      <c r="D965" s="86"/>
      <c r="F965" s="87"/>
    </row>
    <row r="966">
      <c r="D966" s="86"/>
      <c r="F966" s="87"/>
    </row>
    <row r="967">
      <c r="D967" s="86"/>
      <c r="F967" s="87"/>
    </row>
    <row r="968">
      <c r="D968" s="86"/>
      <c r="F968" s="87"/>
    </row>
    <row r="969">
      <c r="D969" s="86"/>
      <c r="F969" s="87"/>
    </row>
    <row r="970">
      <c r="D970" s="86"/>
      <c r="F970" s="87"/>
    </row>
    <row r="971">
      <c r="D971" s="86"/>
      <c r="F971" s="87"/>
    </row>
    <row r="972">
      <c r="D972" s="86"/>
      <c r="F972" s="87"/>
    </row>
    <row r="973">
      <c r="D973" s="86"/>
      <c r="F973" s="87"/>
    </row>
    <row r="974">
      <c r="D974" s="86"/>
      <c r="F974" s="87"/>
    </row>
    <row r="975">
      <c r="D975" s="86"/>
      <c r="F975" s="87"/>
    </row>
    <row r="976">
      <c r="D976" s="86"/>
      <c r="F976" s="87"/>
    </row>
    <row r="977">
      <c r="D977" s="86"/>
      <c r="F977" s="87"/>
    </row>
    <row r="978">
      <c r="D978" s="86"/>
      <c r="F978" s="87"/>
    </row>
    <row r="979">
      <c r="D979" s="86"/>
      <c r="F979" s="87"/>
    </row>
    <row r="980">
      <c r="D980" s="86"/>
      <c r="F980" s="87"/>
    </row>
    <row r="981">
      <c r="D981" s="86"/>
      <c r="F981" s="87"/>
    </row>
    <row r="982">
      <c r="D982" s="86"/>
      <c r="F982" s="87"/>
    </row>
    <row r="983">
      <c r="D983" s="86"/>
      <c r="F983" s="87"/>
    </row>
    <row r="984">
      <c r="D984" s="86"/>
      <c r="F984" s="87"/>
    </row>
    <row r="985">
      <c r="D985" s="86"/>
      <c r="F985" s="87"/>
    </row>
    <row r="986">
      <c r="D986" s="86"/>
      <c r="F986" s="87"/>
    </row>
    <row r="987">
      <c r="D987" s="86"/>
      <c r="F987" s="87"/>
    </row>
    <row r="988">
      <c r="D988" s="86"/>
      <c r="F988" s="87"/>
    </row>
    <row r="989">
      <c r="D989" s="86"/>
      <c r="F989" s="87"/>
    </row>
    <row r="990">
      <c r="D990" s="86"/>
      <c r="F990" s="87"/>
    </row>
    <row r="991">
      <c r="D991" s="86"/>
      <c r="F991" s="87"/>
    </row>
    <row r="992">
      <c r="D992" s="86"/>
      <c r="F992" s="87"/>
    </row>
    <row r="993">
      <c r="D993" s="86"/>
      <c r="F993" s="87"/>
    </row>
    <row r="994">
      <c r="D994" s="86"/>
      <c r="F994" s="87"/>
    </row>
    <row r="995">
      <c r="D995" s="86"/>
      <c r="F995" s="87"/>
    </row>
    <row r="996">
      <c r="D996" s="86"/>
      <c r="F996" s="87"/>
    </row>
    <row r="997">
      <c r="D997" s="86"/>
      <c r="F997" s="87"/>
    </row>
    <row r="998">
      <c r="D998" s="86"/>
      <c r="F998" s="87"/>
    </row>
    <row r="999">
      <c r="D999" s="86"/>
      <c r="F999" s="87"/>
    </row>
    <row r="1000">
      <c r="D1000" s="86"/>
      <c r="F1000" s="8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/>
  </sheetViews>
  <sheetFormatPr customHeight="1" defaultColWidth="12.63" defaultRowHeight="15.75"/>
  <cols>
    <col customWidth="1" min="1" max="6" width="12.63"/>
    <col customWidth="1" min="7" max="7" width="13.0"/>
    <col customWidth="1" min="8" max="8" width="16.63"/>
    <col customWidth="1" min="9" max="9" width="47.13"/>
    <col customWidth="1" min="10" max="10" width="30.0"/>
  </cols>
  <sheetData>
    <row r="1">
      <c r="A1" s="88" t="s">
        <v>367</v>
      </c>
      <c r="B1" s="89"/>
      <c r="C1" s="90">
        <f>COUNTA(C3:C950)</f>
        <v>75</v>
      </c>
      <c r="D1" s="90">
        <f t="shared" ref="D1:F1" si="1">sum(D3:D953)</f>
        <v>161272</v>
      </c>
      <c r="E1" s="90">
        <f t="shared" si="1"/>
        <v>529</v>
      </c>
      <c r="F1" s="90">
        <f t="shared" si="1"/>
        <v>161801</v>
      </c>
      <c r="G1" s="90">
        <f>SUMIF(G3:G953, "โอนแล้ว", F3:F953)</f>
        <v>5155</v>
      </c>
      <c r="H1" s="91"/>
      <c r="I1" s="92"/>
      <c r="J1" s="91"/>
      <c r="K1" s="90"/>
      <c r="L1" s="93"/>
    </row>
    <row r="2">
      <c r="A2" s="94"/>
      <c r="B2" s="95"/>
      <c r="C2" s="96" t="s">
        <v>368</v>
      </c>
      <c r="D2" s="97" t="s">
        <v>369</v>
      </c>
      <c r="E2" s="96" t="s">
        <v>340</v>
      </c>
      <c r="F2" s="96" t="s">
        <v>370</v>
      </c>
      <c r="G2" s="98" t="s">
        <v>371</v>
      </c>
      <c r="H2" s="96" t="s">
        <v>372</v>
      </c>
      <c r="I2" s="99" t="s">
        <v>373</v>
      </c>
      <c r="J2" s="100" t="s">
        <v>374</v>
      </c>
      <c r="K2" s="101">
        <f>sum(F3:F953)</f>
        <v>161801</v>
      </c>
      <c r="L2" s="102">
        <f>0.18*K2</f>
        <v>29124.18</v>
      </c>
    </row>
    <row r="3">
      <c r="A3" s="103" t="b">
        <v>0</v>
      </c>
      <c r="B3" s="15">
        <v>1.0</v>
      </c>
      <c r="C3" s="104" t="str">
        <f t="array" ref="C3:C78">unique('Japan 2'!B2:B953)</f>
        <v>Joyya</v>
      </c>
      <c r="D3" s="105">
        <f>sumif('Japan 2'!B:B,C3,'Japan 2'!F:F)</f>
        <v>0</v>
      </c>
      <c r="E3" s="106"/>
      <c r="F3" s="105">
        <f t="shared" ref="F3:F76" si="2">D3+E3</f>
        <v>0</v>
      </c>
      <c r="G3" s="107"/>
      <c r="H3" s="108"/>
      <c r="I3" s="109"/>
    </row>
    <row r="4">
      <c r="A4" s="103" t="b">
        <v>0</v>
      </c>
      <c r="B4" s="15">
        <v>2.0</v>
      </c>
      <c r="C4" s="104" t="s">
        <v>8</v>
      </c>
      <c r="D4" s="105">
        <f>sumif('Japan 2'!B:B,C4,'Japan 2'!F:F)</f>
        <v>2388</v>
      </c>
      <c r="E4" s="106"/>
      <c r="F4" s="105">
        <f t="shared" si="2"/>
        <v>2388</v>
      </c>
      <c r="G4" s="107"/>
      <c r="H4" s="108"/>
      <c r="I4" s="109"/>
    </row>
    <row r="5">
      <c r="A5" s="103" t="b">
        <v>0</v>
      </c>
      <c r="B5" s="15">
        <v>3.0</v>
      </c>
      <c r="C5" s="104" t="s">
        <v>11</v>
      </c>
      <c r="D5" s="105">
        <f>sumif('Japan 2'!B:B,C5,'Japan 2'!F:F)</f>
        <v>615</v>
      </c>
      <c r="E5" s="106"/>
      <c r="F5" s="105">
        <f t="shared" si="2"/>
        <v>615</v>
      </c>
      <c r="G5" s="107"/>
      <c r="H5" s="108"/>
      <c r="I5" s="109"/>
    </row>
    <row r="6">
      <c r="A6" s="103" t="b">
        <v>0</v>
      </c>
      <c r="B6" s="15">
        <v>4.0</v>
      </c>
      <c r="C6" s="104" t="s">
        <v>13</v>
      </c>
      <c r="D6" s="105">
        <f>sumif('Japan 2'!B:B,C6,'Japan 2'!F:F)</f>
        <v>7490</v>
      </c>
      <c r="E6" s="106"/>
      <c r="F6" s="105">
        <f t="shared" si="2"/>
        <v>7490</v>
      </c>
      <c r="G6" s="107"/>
      <c r="H6" s="108"/>
      <c r="I6" s="109"/>
    </row>
    <row r="7">
      <c r="A7" s="103" t="b">
        <v>0</v>
      </c>
      <c r="B7" s="15">
        <v>5.0</v>
      </c>
      <c r="C7" s="104" t="s">
        <v>15</v>
      </c>
      <c r="D7" s="105">
        <f>sumif('Japan 2'!B:B,C7,'Japan 2'!F:F)</f>
        <v>627</v>
      </c>
      <c r="E7" s="106"/>
      <c r="F7" s="105">
        <f t="shared" si="2"/>
        <v>627</v>
      </c>
      <c r="G7" s="107"/>
      <c r="H7" s="108"/>
      <c r="I7" s="110"/>
    </row>
    <row r="8">
      <c r="A8" s="103" t="b">
        <v>0</v>
      </c>
      <c r="B8" s="15">
        <v>6.0</v>
      </c>
      <c r="C8" s="104" t="s">
        <v>17</v>
      </c>
      <c r="D8" s="105">
        <f>sumif('Japan 2'!B:B,C8,'Japan 2'!F:F)</f>
        <v>275</v>
      </c>
      <c r="E8" s="106">
        <v>50.0</v>
      </c>
      <c r="F8" s="105">
        <f t="shared" si="2"/>
        <v>325</v>
      </c>
      <c r="G8" s="107" t="s">
        <v>375</v>
      </c>
      <c r="H8" s="108"/>
      <c r="I8" s="109"/>
    </row>
    <row r="9">
      <c r="A9" s="103" t="b">
        <v>0</v>
      </c>
      <c r="B9" s="15">
        <v>7.0</v>
      </c>
      <c r="C9" s="104" t="s">
        <v>18</v>
      </c>
      <c r="D9" s="105">
        <f>sumif('Japan 2'!B:B,C9,'Japan 2'!F:F)</f>
        <v>1272</v>
      </c>
      <c r="E9" s="106"/>
      <c r="F9" s="105">
        <f t="shared" si="2"/>
        <v>1272</v>
      </c>
      <c r="G9" s="107"/>
      <c r="H9" s="108"/>
      <c r="I9" s="109"/>
    </row>
    <row r="10">
      <c r="A10" s="103" t="b">
        <v>0</v>
      </c>
      <c r="B10" s="15">
        <v>8.0</v>
      </c>
      <c r="C10" s="104" t="s">
        <v>23</v>
      </c>
      <c r="D10" s="105">
        <f>sumif('Japan 2'!B:B,C10,'Japan 2'!F:F)</f>
        <v>3355</v>
      </c>
      <c r="E10" s="106"/>
      <c r="F10" s="105">
        <f t="shared" si="2"/>
        <v>3355</v>
      </c>
      <c r="G10" s="107"/>
      <c r="H10" s="108"/>
      <c r="I10" s="110"/>
    </row>
    <row r="11" ht="22.5" customHeight="1">
      <c r="A11" s="103" t="b">
        <v>0</v>
      </c>
      <c r="B11" s="15">
        <v>9.0</v>
      </c>
      <c r="C11" s="104" t="s">
        <v>24</v>
      </c>
      <c r="D11" s="105">
        <f>sumif('Japan 2'!B:B,C11,'Japan 2'!F:F)</f>
        <v>9488</v>
      </c>
      <c r="E11" s="106"/>
      <c r="F11" s="105">
        <f t="shared" si="2"/>
        <v>9488</v>
      </c>
      <c r="G11" s="107"/>
      <c r="H11" s="108"/>
      <c r="I11" s="109"/>
    </row>
    <row r="12">
      <c r="A12" s="103" t="b">
        <v>0</v>
      </c>
      <c r="B12" s="15">
        <v>10.0</v>
      </c>
      <c r="C12" s="104" t="s">
        <v>26</v>
      </c>
      <c r="D12" s="105">
        <f>sumif('Japan 2'!B:B,C12,'Japan 2'!F:F)</f>
        <v>1873</v>
      </c>
      <c r="E12" s="106"/>
      <c r="F12" s="105">
        <f t="shared" si="2"/>
        <v>1873</v>
      </c>
      <c r="G12" s="107"/>
      <c r="H12" s="108"/>
      <c r="I12" s="109"/>
    </row>
    <row r="13">
      <c r="A13" s="103" t="b">
        <v>0</v>
      </c>
      <c r="B13" s="15">
        <v>11.0</v>
      </c>
      <c r="C13" s="104" t="s">
        <v>28</v>
      </c>
      <c r="D13" s="111">
        <v>758.0</v>
      </c>
      <c r="E13" s="106"/>
      <c r="F13" s="105">
        <f t="shared" si="2"/>
        <v>758</v>
      </c>
      <c r="G13" s="107"/>
      <c r="H13" s="108"/>
      <c r="I13" s="109"/>
    </row>
    <row r="14">
      <c r="A14" s="103" t="b">
        <v>0</v>
      </c>
      <c r="B14" s="15">
        <v>12.0</v>
      </c>
      <c r="C14" s="104" t="s">
        <v>30</v>
      </c>
      <c r="D14" s="105">
        <f>sumif('Japan 2'!B:B,C14,'Japan 2'!F:F)</f>
        <v>12268</v>
      </c>
      <c r="E14" s="106"/>
      <c r="F14" s="105">
        <f t="shared" si="2"/>
        <v>12268</v>
      </c>
      <c r="G14" s="107"/>
      <c r="H14" s="108"/>
      <c r="I14" s="109"/>
    </row>
    <row r="15">
      <c r="A15" s="103" t="b">
        <v>0</v>
      </c>
      <c r="B15" s="15">
        <v>13.0</v>
      </c>
      <c r="C15" s="104" t="s">
        <v>37</v>
      </c>
      <c r="D15" s="105">
        <f>sumif('Japan 2'!B:B,C15,'Japan 2'!F:F)</f>
        <v>305</v>
      </c>
      <c r="E15" s="106"/>
      <c r="F15" s="105">
        <f t="shared" si="2"/>
        <v>305</v>
      </c>
      <c r="G15" s="107"/>
      <c r="H15" s="108"/>
      <c r="I15" s="109"/>
    </row>
    <row r="16" ht="33.0" customHeight="1">
      <c r="A16" s="103" t="b">
        <v>0</v>
      </c>
      <c r="B16" s="15">
        <v>14.0</v>
      </c>
      <c r="C16" s="104" t="s">
        <v>39</v>
      </c>
      <c r="D16" s="105">
        <f>sumif('Japan 2'!B:B,C16,'Japan 2'!F:F)</f>
        <v>2223</v>
      </c>
      <c r="E16" s="106"/>
      <c r="F16" s="105">
        <f t="shared" si="2"/>
        <v>2223</v>
      </c>
      <c r="G16" s="107"/>
      <c r="H16" s="108"/>
      <c r="I16" s="109"/>
    </row>
    <row r="17">
      <c r="A17" s="103" t="b">
        <v>0</v>
      </c>
      <c r="B17" s="15">
        <v>15.0</v>
      </c>
      <c r="C17" s="104" t="s">
        <v>44</v>
      </c>
      <c r="D17" s="105">
        <f>sumif('Japan 2'!B:B,C17,'Japan 2'!F:F)</f>
        <v>2780</v>
      </c>
      <c r="E17" s="106"/>
      <c r="F17" s="105">
        <f t="shared" si="2"/>
        <v>2780</v>
      </c>
      <c r="G17" s="107"/>
      <c r="H17" s="108"/>
      <c r="I17" s="109"/>
    </row>
    <row r="18">
      <c r="A18" s="103" t="b">
        <v>0</v>
      </c>
      <c r="B18" s="15">
        <v>16.0</v>
      </c>
      <c r="C18" s="104" t="s">
        <v>49</v>
      </c>
      <c r="D18" s="105">
        <f>sumif('Japan 2'!B:B,C18,'Japan 2'!F:F)</f>
        <v>473</v>
      </c>
      <c r="E18" s="106"/>
      <c r="F18" s="105">
        <f t="shared" si="2"/>
        <v>473</v>
      </c>
      <c r="G18" s="107"/>
      <c r="H18" s="108"/>
      <c r="I18" s="109"/>
    </row>
    <row r="19">
      <c r="A19" s="103" t="b">
        <v>0</v>
      </c>
      <c r="B19" s="15">
        <v>17.0</v>
      </c>
      <c r="C19" s="104" t="s">
        <v>52</v>
      </c>
      <c r="D19" s="105">
        <f>sumif('Japan 2'!B:B,C19,'Japan 2'!F:F)</f>
        <v>418</v>
      </c>
      <c r="E19" s="106"/>
      <c r="F19" s="105">
        <f t="shared" si="2"/>
        <v>418</v>
      </c>
      <c r="G19" s="107"/>
      <c r="H19" s="108"/>
      <c r="I19" s="109"/>
    </row>
    <row r="20" ht="52.5" customHeight="1">
      <c r="A20" s="103" t="b">
        <v>0</v>
      </c>
      <c r="B20" s="15">
        <v>18.0</v>
      </c>
      <c r="C20" s="104" t="s">
        <v>55</v>
      </c>
      <c r="D20" s="105">
        <f>sumif('Japan 2'!B:B,C20,'Japan 2'!F:F)</f>
        <v>579</v>
      </c>
      <c r="E20" s="106"/>
      <c r="F20" s="105">
        <f t="shared" si="2"/>
        <v>579</v>
      </c>
      <c r="G20" s="107"/>
      <c r="H20" s="108"/>
      <c r="I20" s="109"/>
    </row>
    <row r="21">
      <c r="A21" s="103" t="b">
        <v>0</v>
      </c>
      <c r="B21" s="15">
        <v>19.0</v>
      </c>
      <c r="C21" s="104" t="s">
        <v>57</v>
      </c>
      <c r="D21" s="105">
        <f>sumif('Japan 2'!B:B,C21,'Japan 2'!F:F)</f>
        <v>6173</v>
      </c>
      <c r="E21" s="106"/>
      <c r="F21" s="105">
        <f t="shared" si="2"/>
        <v>6173</v>
      </c>
      <c r="G21" s="107"/>
      <c r="H21" s="108"/>
      <c r="I21" s="109"/>
    </row>
    <row r="22">
      <c r="A22" s="103" t="b">
        <v>0</v>
      </c>
      <c r="B22" s="15">
        <v>20.0</v>
      </c>
      <c r="C22" s="104" t="s">
        <v>60</v>
      </c>
      <c r="D22" s="105">
        <f>sumif('Japan 2'!B:B,C22,'Japan 2'!F:F)</f>
        <v>6404</v>
      </c>
      <c r="E22" s="106"/>
      <c r="F22" s="105">
        <f t="shared" si="2"/>
        <v>6404</v>
      </c>
      <c r="G22" s="107"/>
      <c r="H22" s="108"/>
      <c r="I22" s="109"/>
    </row>
    <row r="23">
      <c r="A23" s="103" t="b">
        <v>0</v>
      </c>
      <c r="B23" s="15">
        <v>21.0</v>
      </c>
      <c r="C23" s="104" t="s">
        <v>65</v>
      </c>
      <c r="D23" s="105">
        <f>sumif('Japan 2'!B:B,C23,'Japan 2'!F:F)</f>
        <v>478</v>
      </c>
      <c r="E23" s="106"/>
      <c r="F23" s="105">
        <f t="shared" si="2"/>
        <v>478</v>
      </c>
      <c r="G23" s="107"/>
      <c r="H23" s="108"/>
      <c r="I23" s="109"/>
    </row>
    <row r="24">
      <c r="A24" s="103" t="b">
        <v>0</v>
      </c>
      <c r="B24" s="15">
        <v>22.0</v>
      </c>
      <c r="C24" s="104" t="s">
        <v>67</v>
      </c>
      <c r="D24" s="105">
        <f>sumif('Japan 2'!B:B,C24,'Japan 2'!F:F)</f>
        <v>7490</v>
      </c>
      <c r="E24" s="106"/>
      <c r="F24" s="105">
        <f t="shared" si="2"/>
        <v>7490</v>
      </c>
      <c r="G24" s="107"/>
      <c r="H24" s="108"/>
      <c r="I24" s="109"/>
    </row>
    <row r="25">
      <c r="A25" s="103" t="b">
        <v>0</v>
      </c>
      <c r="B25" s="15">
        <v>23.0</v>
      </c>
      <c r="C25" s="104" t="s">
        <v>68</v>
      </c>
      <c r="D25" s="105">
        <f>sumif('Japan 2'!B:B,C25,'Japan 2'!F:F)</f>
        <v>1650</v>
      </c>
      <c r="E25" s="106"/>
      <c r="F25" s="105">
        <f t="shared" si="2"/>
        <v>1650</v>
      </c>
      <c r="G25" s="107"/>
      <c r="H25" s="108"/>
      <c r="I25" s="109"/>
    </row>
    <row r="26">
      <c r="A26" s="103" t="b">
        <v>0</v>
      </c>
      <c r="B26" s="15">
        <v>24.0</v>
      </c>
      <c r="C26" s="104" t="s">
        <v>70</v>
      </c>
      <c r="D26" s="105">
        <f>sumif('Japan 2'!B:B,C26,'Japan 2'!F:F)</f>
        <v>368</v>
      </c>
      <c r="E26" s="106"/>
      <c r="F26" s="105">
        <f t="shared" si="2"/>
        <v>368</v>
      </c>
      <c r="G26" s="107"/>
      <c r="H26" s="108"/>
      <c r="I26" s="109"/>
    </row>
    <row r="27">
      <c r="A27" s="103" t="b">
        <v>0</v>
      </c>
      <c r="B27" s="15">
        <v>25.0</v>
      </c>
      <c r="C27" s="104" t="s">
        <v>74</v>
      </c>
      <c r="D27" s="105">
        <f>sumif('Japan 2'!B:B,C27,'Japan 2'!F:F)</f>
        <v>3447</v>
      </c>
      <c r="E27" s="106"/>
      <c r="F27" s="105">
        <f t="shared" si="2"/>
        <v>3447</v>
      </c>
      <c r="G27" s="107"/>
      <c r="H27" s="108"/>
      <c r="I27" s="109"/>
    </row>
    <row r="28">
      <c r="A28" s="103" t="b">
        <v>0</v>
      </c>
      <c r="B28" s="15">
        <v>26.0</v>
      </c>
      <c r="C28" s="104" t="s">
        <v>79</v>
      </c>
      <c r="D28" s="105">
        <f>sumif('Japan 2'!B:B,C28,'Japan 2'!F:F)</f>
        <v>3815</v>
      </c>
      <c r="E28" s="106"/>
      <c r="F28" s="105">
        <f t="shared" si="2"/>
        <v>3815</v>
      </c>
      <c r="G28" s="107"/>
      <c r="H28" s="108"/>
      <c r="I28" s="109"/>
    </row>
    <row r="29">
      <c r="A29" s="103" t="b">
        <v>0</v>
      </c>
      <c r="B29" s="15">
        <v>27.0</v>
      </c>
      <c r="C29" s="104" t="s">
        <v>83</v>
      </c>
      <c r="D29" s="105">
        <f>sumif('Japan 2'!B:B,C29,'Japan 2'!F:F)</f>
        <v>7727</v>
      </c>
      <c r="E29" s="106"/>
      <c r="F29" s="105">
        <f t="shared" si="2"/>
        <v>7727</v>
      </c>
      <c r="G29" s="107"/>
      <c r="H29" s="108"/>
      <c r="I29" s="109"/>
    </row>
    <row r="30">
      <c r="A30" s="103" t="b">
        <v>0</v>
      </c>
      <c r="B30" s="15">
        <v>28.0</v>
      </c>
      <c r="C30" s="104" t="s">
        <v>85</v>
      </c>
      <c r="D30" s="105">
        <f>sumif('Japan 2'!B:B,C30,'Japan 2'!F:F)</f>
        <v>833</v>
      </c>
      <c r="E30" s="106">
        <v>39.0</v>
      </c>
      <c r="F30" s="105">
        <f t="shared" si="2"/>
        <v>872</v>
      </c>
      <c r="G30" s="107" t="s">
        <v>375</v>
      </c>
      <c r="H30" s="108"/>
      <c r="I30" s="109"/>
    </row>
    <row r="31">
      <c r="A31" s="103" t="b">
        <v>0</v>
      </c>
      <c r="B31" s="15">
        <v>29.0</v>
      </c>
      <c r="C31" s="104" t="s">
        <v>89</v>
      </c>
      <c r="D31" s="105">
        <f>sumif('Japan 2'!B:B,C31,'Japan 2'!F:F)</f>
        <v>548</v>
      </c>
      <c r="E31" s="106"/>
      <c r="F31" s="105">
        <f t="shared" si="2"/>
        <v>548</v>
      </c>
      <c r="G31" s="107"/>
      <c r="H31" s="108"/>
      <c r="I31" s="109"/>
    </row>
    <row r="32">
      <c r="A32" s="103" t="b">
        <v>0</v>
      </c>
      <c r="B32" s="15">
        <v>30.0</v>
      </c>
      <c r="C32" s="104" t="s">
        <v>91</v>
      </c>
      <c r="D32" s="105">
        <f>sumif('Japan 2'!B:B,C32,'Japan 2'!F:F)</f>
        <v>8514</v>
      </c>
      <c r="E32" s="106">
        <v>39.0</v>
      </c>
      <c r="F32" s="105">
        <f t="shared" si="2"/>
        <v>8553</v>
      </c>
      <c r="G32" s="107" t="s">
        <v>375</v>
      </c>
      <c r="H32" s="108"/>
      <c r="I32" s="109"/>
    </row>
    <row r="33">
      <c r="A33" s="103" t="b">
        <v>0</v>
      </c>
      <c r="B33" s="15">
        <v>31.0</v>
      </c>
      <c r="C33" s="104" t="s">
        <v>92</v>
      </c>
      <c r="D33" s="105">
        <f>sumif('Japan 2'!B:B,C33,'Japan 2'!F:F)</f>
        <v>679</v>
      </c>
      <c r="E33" s="106"/>
      <c r="F33" s="105">
        <f t="shared" si="2"/>
        <v>679</v>
      </c>
      <c r="G33" s="107"/>
      <c r="H33" s="108"/>
      <c r="I33" s="109"/>
    </row>
    <row r="34">
      <c r="A34" s="103" t="b">
        <v>0</v>
      </c>
      <c r="B34" s="15">
        <v>32.0</v>
      </c>
      <c r="C34" s="104" t="s">
        <v>94</v>
      </c>
      <c r="D34" s="105">
        <f>sumif('Japan 2'!B:B,C34,'Japan 2'!F:F)</f>
        <v>2434</v>
      </c>
      <c r="E34" s="106"/>
      <c r="F34" s="105">
        <f t="shared" si="2"/>
        <v>2434</v>
      </c>
      <c r="G34" s="107"/>
      <c r="H34" s="108"/>
      <c r="I34" s="109"/>
    </row>
    <row r="35">
      <c r="A35" s="103" t="b">
        <v>0</v>
      </c>
      <c r="B35" s="15">
        <v>33.0</v>
      </c>
      <c r="C35" s="104" t="s">
        <v>96</v>
      </c>
      <c r="D35" s="105">
        <f>sumif('Japan 2'!B:B,C35,'Japan 2'!F:F)</f>
        <v>1371</v>
      </c>
      <c r="E35" s="106"/>
      <c r="F35" s="105">
        <f t="shared" si="2"/>
        <v>1371</v>
      </c>
      <c r="G35" s="107"/>
      <c r="H35" s="108"/>
      <c r="I35" s="109"/>
    </row>
    <row r="36">
      <c r="A36" s="103" t="b">
        <v>0</v>
      </c>
      <c r="B36" s="15">
        <v>34.0</v>
      </c>
      <c r="C36" s="104" t="s">
        <v>100</v>
      </c>
      <c r="D36" s="105">
        <f>sumif('Japan 2'!B:B,C36,'Japan 2'!F:F)</f>
        <v>8436</v>
      </c>
      <c r="E36" s="106"/>
      <c r="F36" s="105">
        <f t="shared" si="2"/>
        <v>8436</v>
      </c>
      <c r="G36" s="107"/>
      <c r="H36" s="108"/>
      <c r="I36" s="109"/>
    </row>
    <row r="37">
      <c r="A37" s="103" t="b">
        <v>0</v>
      </c>
      <c r="B37" s="15">
        <v>35.0</v>
      </c>
      <c r="C37" s="104" t="s">
        <v>108</v>
      </c>
      <c r="D37" s="105">
        <f>sumif('Japan 2'!B:B,C37,'Japan 2'!F:F)</f>
        <v>1105</v>
      </c>
      <c r="E37" s="106">
        <v>39.0</v>
      </c>
      <c r="F37" s="105">
        <f t="shared" si="2"/>
        <v>1144</v>
      </c>
      <c r="G37" s="107" t="s">
        <v>375</v>
      </c>
      <c r="H37" s="108"/>
      <c r="I37" s="109"/>
    </row>
    <row r="38" ht="30.0" customHeight="1">
      <c r="A38" s="103" t="b">
        <v>0</v>
      </c>
      <c r="B38" s="15">
        <v>36.0</v>
      </c>
      <c r="C38" s="104" t="s">
        <v>116</v>
      </c>
      <c r="D38" s="105">
        <f>sumif('Japan 2'!B:B,C38,'Japan 2'!F:F)</f>
        <v>659</v>
      </c>
      <c r="E38" s="106">
        <v>39.0</v>
      </c>
      <c r="F38" s="105">
        <f t="shared" si="2"/>
        <v>698</v>
      </c>
      <c r="G38" s="107" t="s">
        <v>375</v>
      </c>
      <c r="H38" s="108"/>
      <c r="I38" s="109"/>
    </row>
    <row r="39">
      <c r="A39" s="103" t="b">
        <v>0</v>
      </c>
      <c r="B39" s="15">
        <v>37.0</v>
      </c>
      <c r="C39" s="104" t="s">
        <v>118</v>
      </c>
      <c r="D39" s="105">
        <f>sumif('Japan 2'!B:B,C39,'Japan 2'!F:F)</f>
        <v>579</v>
      </c>
      <c r="E39" s="106"/>
      <c r="F39" s="105">
        <f t="shared" si="2"/>
        <v>579</v>
      </c>
      <c r="G39" s="107"/>
      <c r="H39" s="108"/>
      <c r="I39" s="109"/>
    </row>
    <row r="40">
      <c r="A40" s="103" t="b">
        <v>0</v>
      </c>
      <c r="B40" s="15">
        <v>38.0</v>
      </c>
      <c r="C40" s="104" t="s">
        <v>120</v>
      </c>
      <c r="D40" s="105">
        <f>sumif('Japan 2'!B:B,C40,'Japan 2'!F:F)</f>
        <v>1750</v>
      </c>
      <c r="E40" s="106"/>
      <c r="F40" s="105">
        <f t="shared" si="2"/>
        <v>1750</v>
      </c>
      <c r="G40" s="107"/>
      <c r="H40" s="108"/>
      <c r="I40" s="109"/>
    </row>
    <row r="41">
      <c r="A41" s="103" t="b">
        <v>0</v>
      </c>
      <c r="B41" s="15">
        <v>39.0</v>
      </c>
      <c r="C41" s="104" t="s">
        <v>123</v>
      </c>
      <c r="D41" s="105">
        <f>sumif('Japan 2'!B:B,C41,'Japan 2'!F:F)</f>
        <v>1598</v>
      </c>
      <c r="E41" s="106"/>
      <c r="F41" s="105">
        <f t="shared" si="2"/>
        <v>1598</v>
      </c>
      <c r="G41" s="107"/>
      <c r="H41" s="108"/>
      <c r="I41" s="109"/>
    </row>
    <row r="42">
      <c r="A42" s="103" t="b">
        <v>0</v>
      </c>
      <c r="B42" s="15">
        <v>40.0</v>
      </c>
      <c r="C42" s="104" t="s">
        <v>127</v>
      </c>
      <c r="D42" s="105">
        <f>sumif('Japan 2'!B:B,C42,'Japan 2'!F:F)</f>
        <v>99</v>
      </c>
      <c r="E42" s="106"/>
      <c r="F42" s="105">
        <f t="shared" si="2"/>
        <v>99</v>
      </c>
      <c r="G42" s="107"/>
      <c r="H42" s="108"/>
      <c r="I42" s="109"/>
    </row>
    <row r="43">
      <c r="A43" s="103" t="b">
        <v>0</v>
      </c>
      <c r="B43" s="15">
        <v>41.0</v>
      </c>
      <c r="C43" s="104" t="s">
        <v>128</v>
      </c>
      <c r="D43" s="105">
        <f>sumif('Japan 2'!B:B,C43,'Japan 2'!F:F)</f>
        <v>1547</v>
      </c>
      <c r="E43" s="106">
        <v>39.0</v>
      </c>
      <c r="F43" s="105">
        <f t="shared" si="2"/>
        <v>1586</v>
      </c>
      <c r="G43" s="107"/>
      <c r="H43" s="108"/>
      <c r="I43" s="109"/>
    </row>
    <row r="44">
      <c r="A44" s="103" t="b">
        <v>0</v>
      </c>
      <c r="B44" s="15">
        <v>42.0</v>
      </c>
      <c r="C44" s="112" t="s">
        <v>133</v>
      </c>
      <c r="D44" s="105">
        <f>sumif('Japan 2'!B:B,C44,'Japan 2'!F:F)</f>
        <v>844</v>
      </c>
      <c r="E44" s="106"/>
      <c r="F44" s="105">
        <f t="shared" si="2"/>
        <v>844</v>
      </c>
      <c r="G44" s="107"/>
      <c r="H44" s="108"/>
      <c r="I44" s="109"/>
    </row>
    <row r="45">
      <c r="A45" s="103" t="b">
        <v>0</v>
      </c>
      <c r="B45" s="15">
        <v>43.0</v>
      </c>
      <c r="C45" s="112" t="s">
        <v>137</v>
      </c>
      <c r="D45" s="105">
        <f>sumif('Japan 2'!B:B,C45,'Japan 2'!F:F)</f>
        <v>722</v>
      </c>
      <c r="E45" s="106"/>
      <c r="F45" s="105">
        <f t="shared" si="2"/>
        <v>722</v>
      </c>
      <c r="G45" s="107"/>
      <c r="H45" s="108"/>
      <c r="I45" s="109"/>
    </row>
    <row r="46" ht="21.75" customHeight="1">
      <c r="A46" s="103" t="b">
        <v>0</v>
      </c>
      <c r="B46" s="15">
        <v>44.0</v>
      </c>
      <c r="C46" s="112" t="s">
        <v>150</v>
      </c>
      <c r="D46" s="105">
        <f>sumif('Japan 2'!B:B,C46,'Japan 2'!F:F)</f>
        <v>2148</v>
      </c>
      <c r="E46" s="106"/>
      <c r="F46" s="105">
        <f t="shared" si="2"/>
        <v>2148</v>
      </c>
      <c r="G46" s="107"/>
      <c r="H46" s="108"/>
      <c r="I46" s="109"/>
    </row>
    <row r="47">
      <c r="A47" s="103" t="b">
        <v>0</v>
      </c>
      <c r="B47" s="15">
        <v>45.0</v>
      </c>
      <c r="C47" s="112" t="s">
        <v>156</v>
      </c>
      <c r="D47" s="105">
        <f>sumif('Japan 2'!B:B,C47,'Japan 2'!F:F)</f>
        <v>1205</v>
      </c>
      <c r="E47" s="106"/>
      <c r="F47" s="105">
        <f t="shared" si="2"/>
        <v>1205</v>
      </c>
      <c r="G47" s="107"/>
      <c r="H47" s="108"/>
      <c r="I47" s="109"/>
    </row>
    <row r="48">
      <c r="A48" s="103" t="b">
        <v>0</v>
      </c>
      <c r="B48" s="15">
        <v>46.0</v>
      </c>
      <c r="C48" s="112" t="s">
        <v>157</v>
      </c>
      <c r="D48" s="105">
        <f>sumif('Japan 2'!B:B,C48,'Japan 2'!F:F)</f>
        <v>2087</v>
      </c>
      <c r="E48" s="106">
        <v>39.0</v>
      </c>
      <c r="F48" s="105">
        <f t="shared" si="2"/>
        <v>2126</v>
      </c>
      <c r="G48" s="107" t="s">
        <v>376</v>
      </c>
      <c r="H48" s="108"/>
      <c r="I48" s="109"/>
    </row>
    <row r="49">
      <c r="A49" s="103" t="b">
        <v>0</v>
      </c>
      <c r="B49" s="15">
        <v>47.0</v>
      </c>
      <c r="C49" s="112" t="s">
        <v>160</v>
      </c>
      <c r="D49" s="105">
        <f>sumif('Japan 2'!B:B,C49,'Japan 2'!F:F)</f>
        <v>828</v>
      </c>
      <c r="E49" s="106">
        <v>39.0</v>
      </c>
      <c r="F49" s="105">
        <f t="shared" si="2"/>
        <v>867</v>
      </c>
      <c r="G49" s="107" t="s">
        <v>376</v>
      </c>
      <c r="H49" s="108"/>
      <c r="I49" s="109"/>
    </row>
    <row r="50">
      <c r="A50" s="103" t="b">
        <v>0</v>
      </c>
      <c r="B50" s="15">
        <v>48.0</v>
      </c>
      <c r="C50" s="112" t="s">
        <v>164</v>
      </c>
      <c r="D50" s="105">
        <f>sumif('Japan 2'!B:B,C50,'Japan 2'!F:F)</f>
        <v>1387</v>
      </c>
      <c r="E50" s="106"/>
      <c r="F50" s="105">
        <f t="shared" si="2"/>
        <v>1387</v>
      </c>
      <c r="G50" s="107" t="s">
        <v>376</v>
      </c>
      <c r="H50" s="108"/>
      <c r="I50" s="109"/>
    </row>
    <row r="51">
      <c r="A51" s="103" t="b">
        <v>0</v>
      </c>
      <c r="B51" s="15">
        <v>49.0</v>
      </c>
      <c r="C51" s="112" t="s">
        <v>167</v>
      </c>
      <c r="D51" s="105">
        <f>sumif('Japan 2'!B:B,C51,'Japan 2'!F:F)</f>
        <v>1787</v>
      </c>
      <c r="E51" s="106">
        <v>39.0</v>
      </c>
      <c r="F51" s="105">
        <f t="shared" si="2"/>
        <v>1826</v>
      </c>
      <c r="G51" s="107" t="s">
        <v>375</v>
      </c>
      <c r="H51" s="108"/>
      <c r="I51" s="109"/>
    </row>
    <row r="52">
      <c r="A52" s="103" t="b">
        <v>0</v>
      </c>
      <c r="B52" s="15">
        <v>50.0</v>
      </c>
      <c r="C52" s="112" t="s">
        <v>177</v>
      </c>
      <c r="D52" s="105">
        <f>sumif('Japan 2'!B:B,C52,'Japan 2'!F:F)</f>
        <v>725</v>
      </c>
      <c r="E52" s="106">
        <v>50.0</v>
      </c>
      <c r="F52" s="105">
        <f t="shared" si="2"/>
        <v>775</v>
      </c>
      <c r="G52" s="107" t="s">
        <v>376</v>
      </c>
      <c r="H52" s="108"/>
      <c r="I52" s="109"/>
    </row>
    <row r="53">
      <c r="A53" s="103" t="b">
        <v>0</v>
      </c>
      <c r="B53" s="15">
        <v>51.0</v>
      </c>
      <c r="C53" s="112" t="s">
        <v>179</v>
      </c>
      <c r="D53" s="105">
        <f>sumif('Japan 2'!B:B,C53,'Japan 2'!F:F)</f>
        <v>3370</v>
      </c>
      <c r="E53" s="106"/>
      <c r="F53" s="105">
        <f t="shared" si="2"/>
        <v>3370</v>
      </c>
      <c r="G53" s="107"/>
      <c r="H53" s="108"/>
      <c r="I53" s="109"/>
    </row>
    <row r="54">
      <c r="A54" s="103" t="b">
        <v>0</v>
      </c>
      <c r="B54" s="15">
        <v>52.0</v>
      </c>
      <c r="C54" s="104" t="s">
        <v>184</v>
      </c>
      <c r="D54" s="105">
        <f>sumif('Japan 2'!B:B,C54,'Japan 2'!F:F)</f>
        <v>820</v>
      </c>
      <c r="E54" s="106"/>
      <c r="F54" s="105">
        <f t="shared" si="2"/>
        <v>820</v>
      </c>
      <c r="G54" s="107"/>
      <c r="H54" s="108"/>
      <c r="I54" s="109"/>
    </row>
    <row r="55">
      <c r="A55" s="103" t="b">
        <v>0</v>
      </c>
      <c r="B55" s="15">
        <v>53.0</v>
      </c>
      <c r="C55" s="104" t="s">
        <v>186</v>
      </c>
      <c r="D55" s="105">
        <f>sumif('Japan 2'!B:B,C55,'Japan 2'!F:F)</f>
        <v>4750</v>
      </c>
      <c r="E55" s="106"/>
      <c r="F55" s="105">
        <f t="shared" si="2"/>
        <v>4750</v>
      </c>
      <c r="G55" s="107"/>
      <c r="H55" s="108"/>
      <c r="I55" s="109"/>
    </row>
    <row r="56">
      <c r="A56" s="103" t="b">
        <v>0</v>
      </c>
      <c r="B56" s="15">
        <v>54.0</v>
      </c>
      <c r="C56" s="104" t="s">
        <v>195</v>
      </c>
      <c r="D56" s="105">
        <f>sumif('Japan 2'!B:B,C56,'Japan 2'!F:F)</f>
        <v>298</v>
      </c>
      <c r="E56" s="106"/>
      <c r="F56" s="105">
        <f t="shared" si="2"/>
        <v>298</v>
      </c>
      <c r="G56" s="107"/>
      <c r="H56" s="108"/>
      <c r="I56" s="109"/>
    </row>
    <row r="57">
      <c r="A57" s="103" t="b">
        <v>0</v>
      </c>
      <c r="B57" s="15">
        <v>55.0</v>
      </c>
      <c r="C57" s="104" t="s">
        <v>198</v>
      </c>
      <c r="D57" s="105">
        <f>sumif('Japan 2'!B:B,C57,'Japan 2'!F:F)</f>
        <v>918</v>
      </c>
      <c r="E57" s="106"/>
      <c r="F57" s="105">
        <f t="shared" si="2"/>
        <v>918</v>
      </c>
      <c r="G57" s="107"/>
      <c r="H57" s="108"/>
      <c r="I57" s="109"/>
    </row>
    <row r="58">
      <c r="A58" s="103" t="b">
        <v>0</v>
      </c>
      <c r="B58" s="15">
        <v>56.0</v>
      </c>
      <c r="C58" s="104" t="s">
        <v>200</v>
      </c>
      <c r="D58" s="105">
        <f>sumif('Japan 2'!B:B,C58,'Japan 2'!F:F)</f>
        <v>459</v>
      </c>
      <c r="E58" s="106"/>
      <c r="F58" s="105">
        <f t="shared" si="2"/>
        <v>459</v>
      </c>
      <c r="G58" s="107"/>
      <c r="H58" s="108"/>
      <c r="I58" s="109"/>
    </row>
    <row r="59">
      <c r="A59" s="103" t="b">
        <v>0</v>
      </c>
      <c r="B59" s="15">
        <v>57.0</v>
      </c>
      <c r="C59" s="104" t="s">
        <v>202</v>
      </c>
      <c r="D59" s="105">
        <f>sumif('Japan 2'!B:B,C59,'Japan 2'!F:F)</f>
        <v>1515</v>
      </c>
      <c r="E59" s="106"/>
      <c r="F59" s="105">
        <f t="shared" si="2"/>
        <v>1515</v>
      </c>
      <c r="G59" s="107"/>
      <c r="H59" s="108"/>
      <c r="I59" s="109"/>
    </row>
    <row r="60">
      <c r="A60" s="103" t="b">
        <v>0</v>
      </c>
      <c r="B60" s="15">
        <v>58.0</v>
      </c>
      <c r="C60" s="104" t="s">
        <v>206</v>
      </c>
      <c r="D60" s="105">
        <f>sumif('Japan 2'!B:B,C60,'Japan 2'!F:F)</f>
        <v>275</v>
      </c>
      <c r="E60" s="106"/>
      <c r="F60" s="105">
        <f t="shared" si="2"/>
        <v>275</v>
      </c>
      <c r="G60" s="107"/>
      <c r="H60" s="108"/>
      <c r="I60" s="109"/>
    </row>
    <row r="61">
      <c r="A61" s="103" t="b">
        <v>0</v>
      </c>
      <c r="B61" s="15">
        <v>59.0</v>
      </c>
      <c r="C61" s="104" t="s">
        <v>207</v>
      </c>
      <c r="D61" s="105">
        <f>sumif('Japan 2'!B:B,C61,'Japan 2'!F:F)</f>
        <v>1598</v>
      </c>
      <c r="E61" s="106"/>
      <c r="F61" s="105">
        <f t="shared" si="2"/>
        <v>1598</v>
      </c>
      <c r="G61" s="107"/>
      <c r="H61" s="108"/>
      <c r="I61" s="109"/>
    </row>
    <row r="62">
      <c r="A62" s="103" t="b">
        <v>0</v>
      </c>
      <c r="B62" s="15">
        <v>60.0</v>
      </c>
      <c r="C62" s="104" t="s">
        <v>209</v>
      </c>
      <c r="D62" s="105">
        <f>sumif('Japan 2'!B:B,C62,'Japan 2'!F:F)</f>
        <v>580</v>
      </c>
      <c r="E62" s="113"/>
      <c r="F62" s="105">
        <f t="shared" si="2"/>
        <v>580</v>
      </c>
      <c r="G62" s="107"/>
      <c r="H62" s="44"/>
      <c r="I62" s="114"/>
      <c r="J62" s="115"/>
    </row>
    <row r="63">
      <c r="A63" s="103" t="b">
        <v>0</v>
      </c>
      <c r="B63" s="15">
        <v>61.0</v>
      </c>
      <c r="C63" s="104" t="s">
        <v>210</v>
      </c>
      <c r="D63" s="105">
        <f>sumif('Japan 2'!B:B,C63,'Japan 2'!F:F)</f>
        <v>179</v>
      </c>
      <c r="E63" s="113"/>
      <c r="F63" s="105">
        <f t="shared" si="2"/>
        <v>179</v>
      </c>
      <c r="G63" s="107"/>
      <c r="H63" s="44"/>
      <c r="I63" s="114"/>
      <c r="J63" s="115"/>
    </row>
    <row r="64">
      <c r="A64" s="103" t="b">
        <v>0</v>
      </c>
      <c r="B64" s="15">
        <v>62.0</v>
      </c>
      <c r="C64" s="104" t="s">
        <v>214</v>
      </c>
      <c r="D64" s="105">
        <f>sumif('Japan 2'!B:B,C64,'Japan 2'!F:F)</f>
        <v>379</v>
      </c>
      <c r="E64" s="113"/>
      <c r="F64" s="105">
        <f t="shared" si="2"/>
        <v>379</v>
      </c>
      <c r="G64" s="107"/>
      <c r="H64" s="44"/>
      <c r="I64" s="116"/>
      <c r="J64" s="115"/>
    </row>
    <row r="65">
      <c r="A65" s="103" t="b">
        <v>0</v>
      </c>
      <c r="B65" s="15">
        <v>63.0</v>
      </c>
      <c r="C65" s="104" t="s">
        <v>220</v>
      </c>
      <c r="D65" s="105">
        <f>sumif('Japan 2'!B:B,C65,'Japan 2'!F:F)</f>
        <v>179</v>
      </c>
      <c r="E65" s="113"/>
      <c r="F65" s="105">
        <f t="shared" si="2"/>
        <v>179</v>
      </c>
      <c r="G65" s="107"/>
      <c r="H65" s="44"/>
      <c r="I65" s="117"/>
      <c r="J65" s="115"/>
    </row>
    <row r="66">
      <c r="A66" s="103" t="b">
        <v>0</v>
      </c>
      <c r="B66" s="15">
        <v>64.0</v>
      </c>
      <c r="C66" s="104" t="s">
        <v>222</v>
      </c>
      <c r="D66" s="105">
        <f>sumif('Japan 2'!B:B,C66,'Japan 2'!F:F)</f>
        <v>299</v>
      </c>
      <c r="E66" s="113"/>
      <c r="F66" s="105">
        <f t="shared" si="2"/>
        <v>299</v>
      </c>
      <c r="G66" s="107"/>
      <c r="H66" s="108"/>
      <c r="I66" s="117"/>
      <c r="J66" s="115"/>
    </row>
    <row r="67">
      <c r="A67" s="103" t="b">
        <v>0</v>
      </c>
      <c r="B67" s="15">
        <v>65.0</v>
      </c>
      <c r="C67" s="104" t="s">
        <v>238</v>
      </c>
      <c r="D67" s="105">
        <f>sumif('Japan 2'!B:B,C67,'Japan 2'!F:F)</f>
        <v>579</v>
      </c>
      <c r="E67" s="113"/>
      <c r="F67" s="105">
        <f t="shared" si="2"/>
        <v>579</v>
      </c>
      <c r="G67" s="107"/>
      <c r="H67" s="44"/>
      <c r="I67" s="117"/>
      <c r="J67" s="115"/>
    </row>
    <row r="68">
      <c r="A68" s="103" t="b">
        <v>0</v>
      </c>
      <c r="B68" s="15">
        <v>66.0</v>
      </c>
      <c r="C68" s="104" t="s">
        <v>253</v>
      </c>
      <c r="D68" s="105">
        <f>sumif('Japan 2'!B:B,C68,'Japan 2'!F:F)</f>
        <v>1190</v>
      </c>
      <c r="E68" s="113"/>
      <c r="F68" s="105">
        <f t="shared" si="2"/>
        <v>1190</v>
      </c>
      <c r="G68" s="107"/>
      <c r="H68" s="44"/>
      <c r="I68" s="117"/>
      <c r="J68" s="115"/>
    </row>
    <row r="69">
      <c r="A69" s="103" t="b">
        <v>0</v>
      </c>
      <c r="B69" s="15">
        <v>67.0</v>
      </c>
      <c r="C69" s="104" t="s">
        <v>255</v>
      </c>
      <c r="D69" s="105">
        <f>sumif('Japan 2'!B:B,C69,'Japan 2'!F:F)</f>
        <v>3355</v>
      </c>
      <c r="E69" s="113"/>
      <c r="F69" s="105">
        <f t="shared" si="2"/>
        <v>3355</v>
      </c>
      <c r="G69" s="107"/>
      <c r="H69" s="44"/>
      <c r="I69" s="117"/>
      <c r="J69" s="115"/>
    </row>
    <row r="70">
      <c r="A70" s="103" t="b">
        <v>0</v>
      </c>
      <c r="B70" s="15">
        <v>68.0</v>
      </c>
      <c r="C70" s="104" t="s">
        <v>259</v>
      </c>
      <c r="D70" s="105">
        <f>sumif('Japan 2'!B:B,C70,'Japan 2'!F:F)</f>
        <v>1246</v>
      </c>
      <c r="E70" s="113">
        <v>39.0</v>
      </c>
      <c r="F70" s="105">
        <f t="shared" si="2"/>
        <v>1285</v>
      </c>
      <c r="G70" s="107" t="s">
        <v>375</v>
      </c>
      <c r="H70" s="44"/>
      <c r="I70" s="117"/>
      <c r="J70" s="115"/>
    </row>
    <row r="71">
      <c r="A71" s="103" t="b">
        <v>0</v>
      </c>
      <c r="B71" s="15">
        <v>69.0</v>
      </c>
      <c r="C71" s="104" t="s">
        <v>269</v>
      </c>
      <c r="D71" s="105">
        <f>sumif('Japan 2'!B:B,C71,'Japan 2'!F:F)</f>
        <v>928</v>
      </c>
      <c r="E71" s="113">
        <v>39.0</v>
      </c>
      <c r="F71" s="105">
        <f t="shared" si="2"/>
        <v>967</v>
      </c>
      <c r="G71" s="107" t="s">
        <v>375</v>
      </c>
      <c r="H71" s="44"/>
      <c r="I71" s="117"/>
      <c r="J71" s="115"/>
    </row>
    <row r="72">
      <c r="A72" s="103" t="b">
        <v>0</v>
      </c>
      <c r="B72" s="15">
        <v>70.0</v>
      </c>
      <c r="C72" s="104" t="s">
        <v>271</v>
      </c>
      <c r="D72" s="105">
        <f>sumif('Japan 2'!B:B,C72,'Japan 2'!F:F)</f>
        <v>932</v>
      </c>
      <c r="E72" s="113">
        <v>39.0</v>
      </c>
      <c r="F72" s="105">
        <f t="shared" si="2"/>
        <v>971</v>
      </c>
      <c r="G72" s="107"/>
      <c r="H72" s="44"/>
      <c r="I72" s="117"/>
      <c r="J72" s="115"/>
    </row>
    <row r="73">
      <c r="A73" s="103" t="b">
        <v>0</v>
      </c>
      <c r="B73" s="15">
        <v>71.0</v>
      </c>
      <c r="C73" s="104" t="s">
        <v>297</v>
      </c>
      <c r="D73" s="105">
        <f>sumif('Japan 2'!B:B,C73,'Japan 2'!F:F)</f>
        <v>7423</v>
      </c>
      <c r="E73" s="113"/>
      <c r="F73" s="105">
        <f t="shared" si="2"/>
        <v>7423</v>
      </c>
      <c r="G73" s="107"/>
      <c r="H73" s="44"/>
      <c r="I73" s="117"/>
      <c r="J73" s="115"/>
    </row>
    <row r="74">
      <c r="A74" s="103" t="b">
        <v>0</v>
      </c>
      <c r="B74" s="15">
        <v>72.0</v>
      </c>
      <c r="C74" s="104" t="s">
        <v>314</v>
      </c>
      <c r="D74" s="105">
        <f>sumif('Japan 2'!B:B,C74,'Japan 2'!F:F)</f>
        <v>2073</v>
      </c>
      <c r="E74" s="113"/>
      <c r="F74" s="105">
        <f t="shared" si="2"/>
        <v>2073</v>
      </c>
      <c r="G74" s="107"/>
      <c r="H74" s="44"/>
      <c r="I74" s="117"/>
      <c r="J74" s="115"/>
    </row>
    <row r="75">
      <c r="A75" s="103" t="b">
        <v>0</v>
      </c>
      <c r="B75" s="15">
        <v>73.0</v>
      </c>
      <c r="C75" s="104" t="s">
        <v>321</v>
      </c>
      <c r="D75" s="105">
        <f>sumif('Japan 2'!B:B,C75,'Japan 2'!F:F)</f>
        <v>218</v>
      </c>
      <c r="E75" s="113"/>
      <c r="F75" s="105">
        <f t="shared" si="2"/>
        <v>218</v>
      </c>
      <c r="G75" s="107"/>
      <c r="H75" s="44"/>
      <c r="I75" s="117"/>
      <c r="J75" s="115"/>
    </row>
    <row r="76">
      <c r="A76" s="103" t="b">
        <v>0</v>
      </c>
      <c r="B76" s="15">
        <v>74.0</v>
      </c>
      <c r="C76" s="104" t="s">
        <v>331</v>
      </c>
      <c r="D76" s="105">
        <f>sumif('Japan 2'!B:B,C76,'Japan 2'!F:F)</f>
        <v>1085</v>
      </c>
      <c r="E76" s="113"/>
      <c r="F76" s="105">
        <f t="shared" si="2"/>
        <v>1085</v>
      </c>
      <c r="G76" s="107"/>
      <c r="H76" s="44"/>
      <c r="I76" s="117"/>
      <c r="J76" s="115"/>
    </row>
    <row r="77">
      <c r="A77" s="103" t="b">
        <v>0</v>
      </c>
      <c r="B77" s="15">
        <v>75.0</v>
      </c>
      <c r="C77" s="104" t="s">
        <v>336</v>
      </c>
      <c r="D77" s="105">
        <f>sumif('Japan 2'!B:B,C77,'Japan 2'!F:F)</f>
        <v>0</v>
      </c>
      <c r="E77" s="113"/>
      <c r="F77" s="51"/>
      <c r="G77" s="107"/>
      <c r="H77" s="44"/>
      <c r="I77" s="117"/>
      <c r="J77" s="115"/>
    </row>
    <row r="78">
      <c r="A78" s="103" t="b">
        <v>0</v>
      </c>
      <c r="B78" s="15">
        <v>76.0</v>
      </c>
      <c r="C78" s="104"/>
      <c r="D78" s="105">
        <f>sumif('Japan 2'!B:B,C78,'Japan 2'!F:F)</f>
        <v>0</v>
      </c>
      <c r="E78" s="113"/>
      <c r="F78" s="51"/>
      <c r="G78" s="107"/>
      <c r="H78" s="44"/>
      <c r="I78" s="117"/>
      <c r="J78" s="115"/>
    </row>
    <row r="79">
      <c r="A79" s="103" t="b">
        <v>0</v>
      </c>
      <c r="B79" s="15">
        <v>77.0</v>
      </c>
      <c r="C79" s="104"/>
      <c r="D79" s="105">
        <f>sumif('Japan 2'!B:B,C79,'Japan 2'!F:F)</f>
        <v>0</v>
      </c>
      <c r="E79" s="113"/>
      <c r="F79" s="51"/>
      <c r="G79" s="107"/>
      <c r="H79" s="44"/>
      <c r="I79" s="117"/>
      <c r="J79" s="115"/>
    </row>
    <row r="80">
      <c r="A80" s="103" t="b">
        <v>0</v>
      </c>
      <c r="B80" s="15">
        <v>78.0</v>
      </c>
      <c r="C80" s="104"/>
      <c r="D80" s="105">
        <f>sumif('Japan 2'!B:B,C80,'Japan 2'!F:F)</f>
        <v>0</v>
      </c>
      <c r="E80" s="113"/>
      <c r="F80" s="51"/>
      <c r="G80" s="107"/>
      <c r="H80" s="44"/>
      <c r="I80" s="117"/>
      <c r="J80" s="115"/>
    </row>
    <row r="81">
      <c r="A81" s="103" t="b">
        <v>0</v>
      </c>
      <c r="B81" s="15">
        <v>79.0</v>
      </c>
      <c r="C81" s="104"/>
      <c r="D81" s="105">
        <f>sumif('Japan 2'!B:B,C81,'Japan 2'!F:F)</f>
        <v>0</v>
      </c>
      <c r="E81" s="113"/>
      <c r="F81" s="51"/>
      <c r="G81" s="107"/>
      <c r="H81" s="44"/>
      <c r="I81" s="117"/>
      <c r="J81" s="115"/>
    </row>
    <row r="82">
      <c r="A82" s="103" t="b">
        <v>0</v>
      </c>
      <c r="B82" s="15">
        <v>80.0</v>
      </c>
      <c r="C82" s="104"/>
      <c r="D82" s="105">
        <f>sumif('Japan 2'!B:B,C82,'Japan 2'!F:F)</f>
        <v>0</v>
      </c>
      <c r="E82" s="113"/>
      <c r="F82" s="51"/>
      <c r="G82" s="107"/>
      <c r="H82" s="44"/>
      <c r="I82" s="117"/>
      <c r="J82" s="115"/>
    </row>
    <row r="83">
      <c r="A83" s="103" t="b">
        <v>0</v>
      </c>
      <c r="B83" s="15">
        <v>81.0</v>
      </c>
      <c r="C83" s="104"/>
      <c r="D83" s="105">
        <f>sumif('Japan 2'!B:B,C83,'Japan 2'!F:F)</f>
        <v>0</v>
      </c>
      <c r="E83" s="113"/>
      <c r="F83" s="51"/>
      <c r="G83" s="107"/>
      <c r="H83" s="44"/>
      <c r="I83" s="117"/>
      <c r="J83" s="115"/>
    </row>
    <row r="84">
      <c r="A84" s="103" t="b">
        <v>0</v>
      </c>
      <c r="B84" s="15">
        <v>82.0</v>
      </c>
      <c r="C84" s="104"/>
      <c r="D84" s="105">
        <f>sumif('Japan 2'!B:B,C84,'Japan 2'!F:F)</f>
        <v>0</v>
      </c>
      <c r="E84" s="113"/>
      <c r="F84" s="51"/>
      <c r="G84" s="107"/>
      <c r="H84" s="44"/>
      <c r="I84" s="117"/>
      <c r="J84" s="115"/>
    </row>
    <row r="85">
      <c r="A85" s="103" t="b">
        <v>0</v>
      </c>
      <c r="B85" s="15">
        <v>83.0</v>
      </c>
      <c r="C85" s="104"/>
      <c r="D85" s="105">
        <f>sumif('Japan 2'!B:B,C85,'Japan 2'!F:F)</f>
        <v>0</v>
      </c>
      <c r="E85" s="113"/>
      <c r="F85" s="51"/>
      <c r="G85" s="107"/>
      <c r="H85" s="44"/>
      <c r="I85" s="117"/>
      <c r="J85" s="115"/>
    </row>
    <row r="86">
      <c r="A86" s="103" t="b">
        <v>0</v>
      </c>
      <c r="B86" s="15">
        <v>84.0</v>
      </c>
      <c r="C86" s="104"/>
      <c r="D86" s="105">
        <f>sumif('Japan 2'!B:B,C86,'Japan 2'!F:F)</f>
        <v>0</v>
      </c>
      <c r="E86" s="113"/>
      <c r="F86" s="51"/>
      <c r="G86" s="107"/>
      <c r="H86" s="44"/>
      <c r="I86" s="117"/>
      <c r="J86" s="115"/>
    </row>
    <row r="87">
      <c r="A87" s="103" t="b">
        <v>0</v>
      </c>
      <c r="B87" s="15">
        <v>85.0</v>
      </c>
      <c r="C87" s="104"/>
      <c r="D87" s="105">
        <f>sumif('Japan 2'!B:B,C87,'Japan 2'!F:F)</f>
        <v>0</v>
      </c>
      <c r="E87" s="113"/>
      <c r="F87" s="51"/>
      <c r="G87" s="107"/>
      <c r="H87" s="44"/>
      <c r="I87" s="117"/>
      <c r="J87" s="115"/>
    </row>
    <row r="88">
      <c r="A88" s="103" t="b">
        <v>0</v>
      </c>
      <c r="B88" s="15">
        <v>86.0</v>
      </c>
      <c r="C88" s="104"/>
      <c r="D88" s="105">
        <f>sumif('Japan 2'!B:B,C88,'Japan 2'!F:F)</f>
        <v>0</v>
      </c>
      <c r="E88" s="113"/>
      <c r="F88" s="51"/>
      <c r="G88" s="107"/>
      <c r="H88" s="44"/>
      <c r="I88" s="117"/>
      <c r="J88" s="115"/>
    </row>
    <row r="89">
      <c r="A89" s="103" t="b">
        <v>0</v>
      </c>
      <c r="B89" s="15">
        <v>87.0</v>
      </c>
      <c r="C89" s="104"/>
      <c r="D89" s="105">
        <f>sumif('Japan 2'!B:B,C89,'Japan 2'!F:F)</f>
        <v>0</v>
      </c>
      <c r="E89" s="113"/>
      <c r="F89" s="51"/>
      <c r="G89" s="107"/>
      <c r="H89" s="44"/>
      <c r="I89" s="117"/>
      <c r="J89" s="115"/>
    </row>
    <row r="90">
      <c r="A90" s="103" t="b">
        <v>0</v>
      </c>
      <c r="B90" s="15">
        <v>88.0</v>
      </c>
      <c r="C90" s="104"/>
      <c r="D90" s="105">
        <f>sumif('Japan 2'!B:B,C90,'Japan 2'!F:F)</f>
        <v>0</v>
      </c>
      <c r="E90" s="113"/>
      <c r="F90" s="51"/>
      <c r="G90" s="107"/>
      <c r="H90" s="44"/>
      <c r="I90" s="117"/>
      <c r="J90" s="115"/>
    </row>
    <row r="91">
      <c r="A91" s="103" t="b">
        <v>0</v>
      </c>
      <c r="B91" s="15">
        <v>89.0</v>
      </c>
      <c r="C91" s="104"/>
      <c r="D91" s="105">
        <f>sumif('Japan 2'!B:B,C91,'Japan 2'!F:F)</f>
        <v>0</v>
      </c>
      <c r="E91" s="113"/>
      <c r="F91" s="51"/>
      <c r="G91" s="107"/>
      <c r="H91" s="44"/>
      <c r="I91" s="117"/>
      <c r="J91" s="115"/>
    </row>
    <row r="92">
      <c r="A92" s="103" t="b">
        <v>0</v>
      </c>
      <c r="B92" s="15">
        <v>90.0</v>
      </c>
      <c r="C92" s="104"/>
      <c r="D92" s="105">
        <f>sumif('Japan 2'!B:B,C92,'Japan 2'!F:F)</f>
        <v>0</v>
      </c>
      <c r="E92" s="113"/>
      <c r="F92" s="51"/>
      <c r="G92" s="107"/>
      <c r="H92" s="44"/>
      <c r="I92" s="117"/>
      <c r="J92" s="115"/>
    </row>
    <row r="93">
      <c r="A93" s="103" t="b">
        <v>0</v>
      </c>
      <c r="B93" s="15">
        <v>91.0</v>
      </c>
      <c r="C93" s="104"/>
      <c r="D93" s="105">
        <f>sumif('Japan 2'!B:B,C93,'Japan 2'!F:F)</f>
        <v>0</v>
      </c>
      <c r="E93" s="113"/>
      <c r="F93" s="51"/>
      <c r="G93" s="107"/>
      <c r="H93" s="44"/>
      <c r="I93" s="117"/>
      <c r="J93" s="115"/>
    </row>
    <row r="94">
      <c r="A94" s="103" t="b">
        <v>0</v>
      </c>
      <c r="B94" s="15">
        <v>92.0</v>
      </c>
      <c r="C94" s="104"/>
      <c r="D94" s="105">
        <f>sumif('Japan 2'!B:B,C94,'Japan 2'!F:F)</f>
        <v>0</v>
      </c>
      <c r="E94" s="113"/>
      <c r="F94" s="51"/>
      <c r="G94" s="107"/>
      <c r="H94" s="44"/>
      <c r="I94" s="117"/>
      <c r="J94" s="115"/>
    </row>
    <row r="95">
      <c r="A95" s="103" t="b">
        <v>0</v>
      </c>
      <c r="B95" s="15">
        <v>93.0</v>
      </c>
      <c r="C95" s="104"/>
      <c r="D95" s="105">
        <f>sumif('Japan 2'!B:B,C95,'Japan 2'!F:F)</f>
        <v>0</v>
      </c>
      <c r="E95" s="113"/>
      <c r="F95" s="51"/>
      <c r="G95" s="107"/>
      <c r="H95" s="44"/>
      <c r="I95" s="117"/>
      <c r="J95" s="115"/>
    </row>
    <row r="96">
      <c r="A96" s="103" t="b">
        <v>0</v>
      </c>
      <c r="B96" s="15">
        <v>94.0</v>
      </c>
      <c r="C96" s="104"/>
      <c r="D96" s="105">
        <f>sumif('Japan 2'!B:B,C96,'Japan 2'!F:F)</f>
        <v>0</v>
      </c>
      <c r="E96" s="113"/>
      <c r="F96" s="51"/>
      <c r="G96" s="107"/>
      <c r="H96" s="44"/>
      <c r="I96" s="117"/>
      <c r="J96" s="115"/>
    </row>
    <row r="97">
      <c r="A97" s="103" t="b">
        <v>0</v>
      </c>
      <c r="B97" s="15">
        <v>95.0</v>
      </c>
      <c r="C97" s="104"/>
      <c r="D97" s="105">
        <f>sumif('Japan 2'!B:B,C97,'Japan 2'!F:F)</f>
        <v>0</v>
      </c>
      <c r="E97" s="113"/>
      <c r="F97" s="51"/>
      <c r="G97" s="107"/>
      <c r="H97" s="44"/>
      <c r="I97" s="92"/>
    </row>
    <row r="98">
      <c r="A98" s="103" t="b">
        <v>0</v>
      </c>
      <c r="B98" s="15">
        <v>96.0</v>
      </c>
      <c r="C98" s="104"/>
      <c r="D98" s="105">
        <f>sumif('Japan 2'!B:B,C98,'Japan 2'!F:F)</f>
        <v>0</v>
      </c>
      <c r="E98" s="113"/>
      <c r="F98" s="51"/>
      <c r="G98" s="107"/>
      <c r="H98" s="44"/>
      <c r="I98" s="92"/>
    </row>
    <row r="99">
      <c r="A99" s="103" t="b">
        <v>0</v>
      </c>
      <c r="B99" s="15">
        <v>97.0</v>
      </c>
      <c r="C99" s="104"/>
      <c r="D99" s="105">
        <f>sumif('Japan 2'!B:B,C99,'Japan 2'!F:F)</f>
        <v>0</v>
      </c>
      <c r="E99" s="113"/>
      <c r="F99" s="51"/>
      <c r="G99" s="107"/>
      <c r="H99" s="44"/>
      <c r="I99" s="92"/>
    </row>
    <row r="100">
      <c r="A100" s="103" t="b">
        <v>0</v>
      </c>
      <c r="B100" s="15">
        <v>98.0</v>
      </c>
      <c r="C100" s="104"/>
      <c r="D100" s="105">
        <f>sumif('Japan 2'!B:B,C100,'Japan 2'!F:F)</f>
        <v>0</v>
      </c>
      <c r="E100" s="113"/>
      <c r="F100" s="51"/>
      <c r="G100" s="118"/>
      <c r="H100" s="44"/>
      <c r="I100" s="92"/>
    </row>
    <row r="101">
      <c r="A101" s="103" t="b">
        <v>0</v>
      </c>
      <c r="B101" s="15">
        <v>99.0</v>
      </c>
      <c r="C101" s="104"/>
      <c r="D101" s="105">
        <f>sumif('Japan 2'!B:B,C101,'Japan 2'!F:F)</f>
        <v>0</v>
      </c>
      <c r="E101" s="113"/>
      <c r="F101" s="51"/>
      <c r="G101" s="118"/>
      <c r="H101" s="44"/>
      <c r="I101" s="92"/>
    </row>
    <row r="102">
      <c r="A102" s="119"/>
      <c r="B102" s="120"/>
      <c r="C102" s="112"/>
      <c r="D102" s="121"/>
      <c r="F102" s="122"/>
      <c r="I102" s="92"/>
    </row>
    <row r="103">
      <c r="A103" s="119"/>
      <c r="B103" s="120"/>
      <c r="C103" s="112"/>
      <c r="D103" s="121"/>
      <c r="F103" s="122"/>
      <c r="I103" s="92"/>
    </row>
    <row r="104">
      <c r="A104" s="119"/>
      <c r="B104" s="120"/>
      <c r="C104" s="112"/>
      <c r="D104" s="121"/>
      <c r="F104" s="122"/>
      <c r="I104" s="92"/>
    </row>
    <row r="105">
      <c r="A105" s="119"/>
      <c r="B105" s="120"/>
      <c r="C105" s="112"/>
      <c r="D105" s="121"/>
      <c r="F105" s="122"/>
      <c r="I105" s="92"/>
    </row>
    <row r="106">
      <c r="A106" s="119"/>
      <c r="B106" s="120"/>
      <c r="C106" s="112"/>
      <c r="D106" s="121"/>
      <c r="F106" s="122"/>
      <c r="I106" s="92"/>
    </row>
    <row r="107">
      <c r="A107" s="119"/>
      <c r="B107" s="120"/>
      <c r="C107" s="112"/>
      <c r="D107" s="121"/>
      <c r="F107" s="122"/>
      <c r="I107" s="92"/>
    </row>
    <row r="108">
      <c r="A108" s="119"/>
      <c r="B108" s="120"/>
      <c r="C108" s="112"/>
      <c r="D108" s="121"/>
      <c r="F108" s="122"/>
      <c r="I108" s="92"/>
    </row>
    <row r="109">
      <c r="A109" s="119"/>
      <c r="B109" s="120"/>
      <c r="C109" s="112"/>
      <c r="D109" s="121"/>
      <c r="F109" s="122"/>
      <c r="I109" s="92"/>
    </row>
    <row r="110">
      <c r="A110" s="119"/>
      <c r="B110" s="120"/>
      <c r="C110" s="112"/>
      <c r="D110" s="121"/>
      <c r="F110" s="122"/>
      <c r="I110" s="92"/>
    </row>
    <row r="111">
      <c r="A111" s="119"/>
      <c r="B111" s="120"/>
      <c r="C111" s="112"/>
      <c r="D111" s="121"/>
      <c r="F111" s="122"/>
      <c r="I111" s="92"/>
    </row>
    <row r="112">
      <c r="A112" s="119"/>
      <c r="B112" s="120"/>
      <c r="C112" s="112"/>
      <c r="D112" s="121"/>
      <c r="F112" s="122"/>
      <c r="I112" s="92"/>
    </row>
    <row r="113">
      <c r="A113" s="119"/>
      <c r="B113" s="120"/>
      <c r="C113" s="112"/>
      <c r="D113" s="121"/>
      <c r="F113" s="122"/>
      <c r="I113" s="92"/>
    </row>
    <row r="114">
      <c r="A114" s="119"/>
      <c r="B114" s="120"/>
      <c r="C114" s="112"/>
      <c r="D114" s="121"/>
      <c r="F114" s="122"/>
      <c r="I114" s="92"/>
    </row>
    <row r="115">
      <c r="A115" s="119"/>
      <c r="B115" s="120"/>
      <c r="C115" s="112"/>
      <c r="D115" s="121"/>
      <c r="F115" s="122"/>
      <c r="I115" s="92"/>
    </row>
    <row r="116">
      <c r="A116" s="119"/>
      <c r="B116" s="120"/>
      <c r="C116" s="112"/>
      <c r="D116" s="121"/>
      <c r="F116" s="122"/>
      <c r="I116" s="92"/>
    </row>
    <row r="117">
      <c r="A117" s="119"/>
      <c r="B117" s="120"/>
      <c r="C117" s="112"/>
      <c r="D117" s="121"/>
      <c r="F117" s="122"/>
      <c r="I117" s="92"/>
    </row>
    <row r="118">
      <c r="A118" s="119"/>
      <c r="B118" s="120"/>
      <c r="C118" s="112"/>
      <c r="D118" s="121"/>
      <c r="F118" s="122"/>
      <c r="I118" s="92"/>
    </row>
    <row r="119">
      <c r="A119" s="119"/>
      <c r="B119" s="120"/>
      <c r="C119" s="112"/>
      <c r="D119" s="121"/>
      <c r="F119" s="122"/>
      <c r="I119" s="92"/>
    </row>
    <row r="120">
      <c r="A120" s="119"/>
      <c r="B120" s="120"/>
      <c r="C120" s="112"/>
      <c r="D120" s="121"/>
      <c r="F120" s="122"/>
      <c r="I120" s="92"/>
    </row>
    <row r="121">
      <c r="A121" s="119"/>
      <c r="B121" s="120"/>
      <c r="C121" s="112"/>
      <c r="D121" s="121"/>
      <c r="F121" s="122"/>
      <c r="I121" s="92"/>
    </row>
    <row r="122">
      <c r="A122" s="119"/>
      <c r="B122" s="120"/>
      <c r="C122" s="112"/>
      <c r="D122" s="121"/>
      <c r="F122" s="122"/>
      <c r="I122" s="92"/>
    </row>
    <row r="123">
      <c r="A123" s="119"/>
      <c r="B123" s="120"/>
      <c r="C123" s="112"/>
      <c r="D123" s="121"/>
      <c r="F123" s="122"/>
      <c r="I123" s="92"/>
    </row>
    <row r="124">
      <c r="A124" s="119"/>
      <c r="B124" s="120"/>
      <c r="C124" s="112"/>
      <c r="D124" s="121"/>
      <c r="F124" s="122"/>
      <c r="I124" s="92"/>
    </row>
    <row r="125">
      <c r="A125" s="119"/>
      <c r="B125" s="120"/>
      <c r="C125" s="112"/>
      <c r="D125" s="121"/>
      <c r="F125" s="122"/>
      <c r="I125" s="92"/>
    </row>
    <row r="126">
      <c r="A126" s="119"/>
      <c r="B126" s="120"/>
      <c r="C126" s="112"/>
      <c r="D126" s="121"/>
      <c r="F126" s="122"/>
      <c r="I126" s="92"/>
    </row>
    <row r="127">
      <c r="A127" s="119"/>
      <c r="B127" s="120"/>
      <c r="C127" s="112"/>
      <c r="D127" s="121"/>
      <c r="F127" s="122"/>
      <c r="I127" s="92"/>
    </row>
    <row r="128">
      <c r="A128" s="119"/>
      <c r="B128" s="120"/>
      <c r="C128" s="112"/>
      <c r="D128" s="121"/>
      <c r="F128" s="122"/>
      <c r="I128" s="92"/>
    </row>
    <row r="129">
      <c r="A129" s="119"/>
      <c r="B129" s="120"/>
      <c r="C129" s="112"/>
      <c r="D129" s="121"/>
      <c r="F129" s="122"/>
      <c r="I129" s="92"/>
    </row>
    <row r="130">
      <c r="A130" s="119"/>
      <c r="B130" s="120"/>
      <c r="C130" s="112"/>
      <c r="D130" s="121"/>
      <c r="F130" s="122"/>
      <c r="I130" s="92"/>
    </row>
    <row r="131">
      <c r="A131" s="119"/>
      <c r="B131" s="120"/>
      <c r="C131" s="112"/>
      <c r="D131" s="121"/>
      <c r="F131" s="122"/>
      <c r="I131" s="92"/>
    </row>
    <row r="132">
      <c r="A132" s="119"/>
      <c r="B132" s="120"/>
      <c r="C132" s="112"/>
      <c r="D132" s="121"/>
      <c r="F132" s="122"/>
      <c r="I132" s="92"/>
    </row>
    <row r="133">
      <c r="A133" s="119"/>
      <c r="B133" s="120"/>
      <c r="C133" s="112"/>
      <c r="D133" s="121"/>
      <c r="F133" s="122"/>
      <c r="I133" s="92"/>
    </row>
    <row r="134">
      <c r="A134" s="119"/>
      <c r="B134" s="120"/>
      <c r="C134" s="112"/>
      <c r="D134" s="121"/>
      <c r="F134" s="122"/>
      <c r="I134" s="92"/>
    </row>
    <row r="135">
      <c r="A135" s="119"/>
      <c r="B135" s="120"/>
      <c r="C135" s="112"/>
      <c r="D135" s="121"/>
      <c r="F135" s="122"/>
      <c r="I135" s="92"/>
    </row>
    <row r="136">
      <c r="A136" s="119"/>
      <c r="B136" s="120"/>
      <c r="C136" s="112"/>
      <c r="D136" s="121"/>
      <c r="F136" s="122"/>
      <c r="I136" s="92"/>
    </row>
    <row r="137">
      <c r="A137" s="119"/>
      <c r="B137" s="120"/>
      <c r="C137" s="112"/>
      <c r="D137" s="121"/>
      <c r="F137" s="122"/>
      <c r="I137" s="92"/>
    </row>
    <row r="138">
      <c r="A138" s="119"/>
      <c r="B138" s="120"/>
      <c r="C138" s="112"/>
      <c r="D138" s="121"/>
      <c r="F138" s="122"/>
      <c r="I138" s="92"/>
    </row>
    <row r="139">
      <c r="A139" s="119"/>
      <c r="B139" s="120"/>
      <c r="C139" s="112"/>
      <c r="D139" s="121"/>
      <c r="F139" s="122"/>
      <c r="I139" s="92"/>
    </row>
    <row r="140">
      <c r="A140" s="119"/>
      <c r="B140" s="120"/>
      <c r="C140" s="112"/>
      <c r="D140" s="121"/>
      <c r="F140" s="122"/>
      <c r="I140" s="92"/>
    </row>
    <row r="141">
      <c r="A141" s="119"/>
      <c r="B141" s="120"/>
      <c r="C141" s="112"/>
      <c r="D141" s="121"/>
      <c r="F141" s="122"/>
      <c r="I141" s="92"/>
    </row>
    <row r="142">
      <c r="A142" s="119"/>
      <c r="B142" s="120"/>
      <c r="C142" s="112"/>
      <c r="D142" s="121"/>
      <c r="F142" s="122"/>
      <c r="I142" s="92"/>
    </row>
    <row r="143">
      <c r="A143" s="119"/>
      <c r="B143" s="120"/>
      <c r="C143" s="112"/>
      <c r="D143" s="121"/>
      <c r="F143" s="122"/>
      <c r="I143" s="92"/>
    </row>
    <row r="144">
      <c r="A144" s="119"/>
      <c r="B144" s="120"/>
      <c r="C144" s="112"/>
      <c r="D144" s="121"/>
      <c r="F144" s="122"/>
      <c r="I144" s="92"/>
    </row>
    <row r="145">
      <c r="A145" s="119"/>
      <c r="B145" s="120"/>
      <c r="C145" s="112"/>
      <c r="D145" s="121"/>
      <c r="F145" s="122"/>
      <c r="I145" s="92"/>
    </row>
    <row r="146">
      <c r="A146" s="119"/>
      <c r="B146" s="120"/>
      <c r="C146" s="112"/>
      <c r="D146" s="121"/>
      <c r="F146" s="122"/>
      <c r="I146" s="92"/>
    </row>
    <row r="147">
      <c r="A147" s="119"/>
      <c r="B147" s="120"/>
      <c r="C147" s="112"/>
      <c r="D147" s="121"/>
      <c r="F147" s="122"/>
      <c r="I147" s="92"/>
    </row>
    <row r="148">
      <c r="A148" s="119"/>
      <c r="B148" s="120"/>
      <c r="C148" s="112"/>
      <c r="D148" s="121"/>
      <c r="F148" s="122"/>
      <c r="I148" s="92"/>
    </row>
    <row r="149">
      <c r="A149" s="119"/>
      <c r="B149" s="120"/>
      <c r="C149" s="112"/>
      <c r="D149" s="121"/>
      <c r="F149" s="122"/>
      <c r="I149" s="92"/>
    </row>
    <row r="150">
      <c r="A150" s="119"/>
      <c r="B150" s="120"/>
      <c r="C150" s="112"/>
      <c r="D150" s="121"/>
      <c r="F150" s="122"/>
      <c r="I150" s="92"/>
    </row>
    <row r="151">
      <c r="A151" s="119"/>
      <c r="B151" s="120"/>
      <c r="C151" s="112"/>
      <c r="D151" s="121"/>
      <c r="F151" s="122"/>
      <c r="I151" s="92"/>
    </row>
    <row r="152">
      <c r="A152" s="119"/>
      <c r="B152" s="120"/>
      <c r="C152" s="112"/>
      <c r="D152" s="121"/>
      <c r="F152" s="122"/>
      <c r="I152" s="92"/>
    </row>
    <row r="153">
      <c r="A153" s="119"/>
      <c r="B153" s="120"/>
      <c r="C153" s="112"/>
      <c r="D153" s="121"/>
      <c r="F153" s="122"/>
      <c r="I153" s="92"/>
    </row>
    <row r="154">
      <c r="A154" s="119"/>
      <c r="B154" s="120"/>
      <c r="C154" s="112"/>
      <c r="D154" s="121"/>
      <c r="F154" s="122"/>
      <c r="I154" s="92"/>
    </row>
    <row r="155">
      <c r="A155" s="119"/>
      <c r="B155" s="120"/>
      <c r="C155" s="112"/>
      <c r="D155" s="121"/>
      <c r="F155" s="122"/>
      <c r="I155" s="92"/>
    </row>
    <row r="156">
      <c r="A156" s="119"/>
      <c r="B156" s="120"/>
      <c r="C156" s="112"/>
      <c r="D156" s="121"/>
      <c r="F156" s="122"/>
      <c r="I156" s="92"/>
    </row>
    <row r="157">
      <c r="A157" s="119"/>
      <c r="B157" s="120"/>
      <c r="C157" s="112"/>
      <c r="D157" s="121"/>
      <c r="F157" s="122"/>
      <c r="I157" s="92"/>
    </row>
    <row r="158">
      <c r="A158" s="119"/>
      <c r="B158" s="120"/>
      <c r="C158" s="112"/>
      <c r="D158" s="121"/>
      <c r="F158" s="122"/>
      <c r="I158" s="92"/>
    </row>
    <row r="159">
      <c r="A159" s="119"/>
      <c r="B159" s="120"/>
      <c r="C159" s="112"/>
      <c r="D159" s="121"/>
      <c r="F159" s="122"/>
      <c r="I159" s="92"/>
    </row>
    <row r="160">
      <c r="A160" s="119"/>
      <c r="B160" s="120"/>
      <c r="C160" s="112"/>
      <c r="D160" s="121"/>
      <c r="F160" s="122"/>
      <c r="I160" s="92"/>
    </row>
    <row r="161">
      <c r="A161" s="119"/>
      <c r="B161" s="120"/>
      <c r="C161" s="112"/>
      <c r="D161" s="121"/>
      <c r="F161" s="122"/>
      <c r="I161" s="92"/>
    </row>
    <row r="162">
      <c r="A162" s="119"/>
      <c r="B162" s="120"/>
      <c r="C162" s="112"/>
      <c r="D162" s="121"/>
      <c r="F162" s="122"/>
      <c r="I162" s="92"/>
    </row>
    <row r="163">
      <c r="A163" s="119"/>
      <c r="B163" s="120"/>
      <c r="C163" s="112"/>
      <c r="D163" s="121"/>
      <c r="F163" s="122"/>
      <c r="I163" s="92"/>
    </row>
    <row r="164">
      <c r="A164" s="119"/>
      <c r="B164" s="120"/>
      <c r="C164" s="112"/>
      <c r="D164" s="121"/>
      <c r="F164" s="122"/>
      <c r="I164" s="92"/>
    </row>
    <row r="165">
      <c r="A165" s="119"/>
      <c r="B165" s="120"/>
      <c r="C165" s="112"/>
      <c r="D165" s="121"/>
      <c r="F165" s="122"/>
      <c r="I165" s="92"/>
    </row>
    <row r="166">
      <c r="A166" s="119"/>
      <c r="B166" s="120"/>
      <c r="C166" s="112"/>
      <c r="D166" s="121"/>
      <c r="F166" s="122"/>
      <c r="I166" s="92"/>
    </row>
    <row r="167">
      <c r="A167" s="119"/>
      <c r="B167" s="120"/>
      <c r="C167" s="112"/>
      <c r="D167" s="121"/>
      <c r="F167" s="122"/>
      <c r="I167" s="92"/>
    </row>
    <row r="168">
      <c r="A168" s="119"/>
      <c r="B168" s="120"/>
      <c r="C168" s="112"/>
      <c r="D168" s="121"/>
      <c r="F168" s="122"/>
      <c r="I168" s="92"/>
    </row>
    <row r="169">
      <c r="A169" s="119"/>
      <c r="B169" s="120"/>
      <c r="C169" s="112"/>
      <c r="D169" s="121"/>
      <c r="F169" s="122"/>
      <c r="I169" s="92"/>
    </row>
    <row r="170">
      <c r="A170" s="119"/>
      <c r="B170" s="120"/>
      <c r="C170" s="112"/>
      <c r="D170" s="121"/>
      <c r="F170" s="122"/>
      <c r="I170" s="92"/>
    </row>
    <row r="171">
      <c r="A171" s="119"/>
      <c r="B171" s="120"/>
      <c r="C171" s="112"/>
      <c r="D171" s="121"/>
      <c r="F171" s="122"/>
      <c r="I171" s="92"/>
    </row>
    <row r="172">
      <c r="A172" s="119"/>
      <c r="B172" s="120"/>
      <c r="C172" s="112"/>
      <c r="D172" s="121"/>
      <c r="F172" s="122"/>
      <c r="I172" s="92"/>
    </row>
    <row r="173">
      <c r="A173" s="119"/>
      <c r="B173" s="120"/>
      <c r="C173" s="112"/>
      <c r="D173" s="121"/>
      <c r="F173" s="122"/>
      <c r="I173" s="92"/>
    </row>
    <row r="174">
      <c r="A174" s="119"/>
      <c r="B174" s="120"/>
      <c r="C174" s="112"/>
      <c r="D174" s="121"/>
      <c r="F174" s="122"/>
      <c r="I174" s="92"/>
    </row>
    <row r="175">
      <c r="A175" s="119"/>
      <c r="B175" s="120"/>
      <c r="C175" s="112"/>
      <c r="D175" s="121"/>
      <c r="F175" s="122"/>
      <c r="I175" s="92"/>
    </row>
    <row r="176">
      <c r="A176" s="119"/>
      <c r="B176" s="120"/>
      <c r="C176" s="112"/>
      <c r="D176" s="121"/>
      <c r="F176" s="122"/>
      <c r="I176" s="92"/>
    </row>
    <row r="177">
      <c r="A177" s="119"/>
      <c r="B177" s="120"/>
      <c r="C177" s="112"/>
      <c r="D177" s="121"/>
      <c r="F177" s="122"/>
      <c r="I177" s="92"/>
    </row>
    <row r="178">
      <c r="A178" s="119"/>
      <c r="B178" s="120"/>
      <c r="C178" s="112"/>
      <c r="D178" s="121"/>
      <c r="F178" s="122"/>
      <c r="I178" s="92"/>
    </row>
    <row r="179">
      <c r="A179" s="119"/>
      <c r="B179" s="120"/>
      <c r="C179" s="112"/>
      <c r="D179" s="121"/>
      <c r="F179" s="122"/>
      <c r="I179" s="92"/>
    </row>
    <row r="180">
      <c r="A180" s="119"/>
      <c r="B180" s="120"/>
      <c r="C180" s="112"/>
      <c r="D180" s="121"/>
      <c r="F180" s="122"/>
      <c r="I180" s="92"/>
    </row>
    <row r="181">
      <c r="A181" s="119"/>
      <c r="B181" s="120"/>
      <c r="C181" s="112"/>
      <c r="D181" s="121"/>
      <c r="F181" s="122"/>
      <c r="I181" s="92"/>
    </row>
    <row r="182">
      <c r="A182" s="119"/>
      <c r="B182" s="120"/>
      <c r="C182" s="112"/>
      <c r="D182" s="121"/>
      <c r="F182" s="122"/>
      <c r="I182" s="92"/>
    </row>
    <row r="183">
      <c r="A183" s="119"/>
      <c r="B183" s="120"/>
      <c r="C183" s="112"/>
      <c r="D183" s="121"/>
      <c r="F183" s="122"/>
      <c r="I183" s="92"/>
    </row>
    <row r="184">
      <c r="A184" s="119"/>
      <c r="B184" s="120"/>
      <c r="C184" s="112"/>
      <c r="D184" s="121"/>
      <c r="F184" s="122"/>
      <c r="I184" s="92"/>
    </row>
    <row r="185">
      <c r="A185" s="119"/>
      <c r="B185" s="120"/>
      <c r="C185" s="112"/>
      <c r="D185" s="121"/>
      <c r="F185" s="122"/>
      <c r="I185" s="92"/>
    </row>
    <row r="186">
      <c r="A186" s="119"/>
      <c r="B186" s="120"/>
      <c r="C186" s="112"/>
      <c r="D186" s="121"/>
      <c r="F186" s="122"/>
      <c r="I186" s="92"/>
    </row>
    <row r="187">
      <c r="A187" s="119"/>
      <c r="B187" s="120"/>
      <c r="C187" s="112"/>
      <c r="D187" s="121"/>
      <c r="F187" s="122"/>
      <c r="I187" s="92"/>
    </row>
    <row r="188">
      <c r="A188" s="119"/>
      <c r="B188" s="120"/>
      <c r="C188" s="112"/>
      <c r="D188" s="121"/>
      <c r="F188" s="122"/>
      <c r="I188" s="92"/>
    </row>
    <row r="189">
      <c r="A189" s="119"/>
      <c r="B189" s="120"/>
      <c r="C189" s="112"/>
      <c r="D189" s="121"/>
      <c r="F189" s="122"/>
      <c r="I189" s="92"/>
    </row>
    <row r="190">
      <c r="A190" s="119"/>
      <c r="B190" s="120"/>
      <c r="C190" s="112"/>
      <c r="D190" s="121"/>
      <c r="F190" s="122"/>
      <c r="I190" s="92"/>
    </row>
    <row r="191">
      <c r="A191" s="119"/>
      <c r="B191" s="120"/>
      <c r="C191" s="112"/>
      <c r="D191" s="121"/>
      <c r="F191" s="122"/>
      <c r="I191" s="92"/>
    </row>
    <row r="192">
      <c r="A192" s="119"/>
      <c r="B192" s="120"/>
      <c r="C192" s="112"/>
      <c r="D192" s="121"/>
      <c r="F192" s="122"/>
      <c r="I192" s="92"/>
    </row>
    <row r="193">
      <c r="A193" s="119"/>
      <c r="B193" s="120"/>
      <c r="C193" s="112"/>
      <c r="D193" s="121"/>
      <c r="F193" s="122"/>
      <c r="I193" s="92"/>
    </row>
    <row r="194">
      <c r="A194" s="119"/>
      <c r="B194" s="120"/>
      <c r="C194" s="112"/>
      <c r="D194" s="121"/>
      <c r="F194" s="122"/>
      <c r="I194" s="92"/>
    </row>
    <row r="195">
      <c r="A195" s="119"/>
      <c r="B195" s="120"/>
      <c r="C195" s="112"/>
      <c r="D195" s="121"/>
      <c r="F195" s="122"/>
      <c r="I195" s="92"/>
    </row>
    <row r="196">
      <c r="A196" s="119"/>
      <c r="B196" s="120"/>
      <c r="C196" s="112"/>
      <c r="D196" s="121"/>
      <c r="F196" s="122"/>
      <c r="I196" s="92"/>
    </row>
    <row r="197">
      <c r="A197" s="119"/>
      <c r="B197" s="120"/>
      <c r="C197" s="112"/>
      <c r="D197" s="121"/>
      <c r="F197" s="122"/>
      <c r="I197" s="92"/>
    </row>
    <row r="198">
      <c r="A198" s="119"/>
      <c r="B198" s="120"/>
      <c r="C198" s="112"/>
      <c r="D198" s="121"/>
      <c r="F198" s="122"/>
      <c r="I198" s="92"/>
    </row>
    <row r="199">
      <c r="A199" s="119"/>
      <c r="B199" s="120"/>
      <c r="C199" s="112"/>
      <c r="D199" s="121"/>
      <c r="F199" s="122"/>
      <c r="I199" s="92"/>
    </row>
    <row r="200">
      <c r="A200" s="119"/>
      <c r="B200" s="120"/>
      <c r="C200" s="112"/>
      <c r="D200" s="121"/>
      <c r="F200" s="122"/>
      <c r="I200" s="92"/>
    </row>
    <row r="201">
      <c r="A201" s="119"/>
      <c r="B201" s="120"/>
      <c r="C201" s="112"/>
      <c r="D201" s="121"/>
      <c r="F201" s="122"/>
      <c r="I201" s="92"/>
    </row>
    <row r="202">
      <c r="A202" s="119"/>
      <c r="B202" s="120"/>
      <c r="C202" s="112"/>
      <c r="D202" s="121"/>
      <c r="F202" s="122"/>
      <c r="I202" s="92"/>
    </row>
    <row r="203">
      <c r="A203" s="119"/>
      <c r="B203" s="120"/>
      <c r="C203" s="112"/>
      <c r="D203" s="121"/>
      <c r="F203" s="122"/>
      <c r="I203" s="92"/>
    </row>
    <row r="204">
      <c r="A204" s="119"/>
      <c r="B204" s="120"/>
      <c r="C204" s="112"/>
      <c r="D204" s="121"/>
      <c r="F204" s="122"/>
      <c r="I204" s="92"/>
    </row>
    <row r="205">
      <c r="A205" s="119"/>
      <c r="B205" s="120"/>
      <c r="C205" s="112"/>
      <c r="D205" s="121"/>
      <c r="F205" s="122"/>
      <c r="I205" s="92"/>
    </row>
    <row r="206">
      <c r="A206" s="119"/>
      <c r="B206" s="120"/>
      <c r="C206" s="112"/>
      <c r="D206" s="121"/>
      <c r="F206" s="122"/>
      <c r="I206" s="92"/>
    </row>
    <row r="207">
      <c r="A207" s="119"/>
      <c r="B207" s="120"/>
      <c r="C207" s="112"/>
      <c r="D207" s="121"/>
      <c r="F207" s="122"/>
      <c r="I207" s="92"/>
    </row>
    <row r="208">
      <c r="A208" s="119"/>
      <c r="B208" s="120"/>
      <c r="C208" s="112"/>
      <c r="D208" s="121"/>
      <c r="F208" s="122"/>
      <c r="I208" s="92"/>
    </row>
    <row r="209">
      <c r="A209" s="119"/>
      <c r="B209" s="120"/>
      <c r="C209" s="112"/>
      <c r="D209" s="121"/>
      <c r="F209" s="122"/>
      <c r="I209" s="92"/>
    </row>
    <row r="210">
      <c r="A210" s="119"/>
      <c r="B210" s="120"/>
      <c r="C210" s="112"/>
      <c r="D210" s="121"/>
      <c r="F210" s="122"/>
      <c r="I210" s="92"/>
    </row>
    <row r="211">
      <c r="A211" s="119"/>
      <c r="B211" s="120"/>
      <c r="C211" s="112"/>
      <c r="D211" s="121"/>
      <c r="F211" s="122"/>
      <c r="I211" s="92"/>
    </row>
    <row r="212">
      <c r="A212" s="119"/>
      <c r="B212" s="120"/>
      <c r="C212" s="112"/>
      <c r="D212" s="121"/>
      <c r="F212" s="122"/>
      <c r="I212" s="92"/>
    </row>
    <row r="213">
      <c r="A213" s="119"/>
      <c r="B213" s="120"/>
      <c r="C213" s="112"/>
      <c r="D213" s="121"/>
      <c r="F213" s="122"/>
      <c r="I213" s="92"/>
    </row>
    <row r="214">
      <c r="A214" s="119"/>
      <c r="B214" s="120"/>
      <c r="C214" s="112"/>
      <c r="D214" s="121"/>
      <c r="F214" s="122"/>
      <c r="I214" s="92"/>
    </row>
    <row r="215">
      <c r="A215" s="119"/>
      <c r="B215" s="120"/>
      <c r="C215" s="112"/>
      <c r="D215" s="121"/>
      <c r="F215" s="122"/>
      <c r="I215" s="92"/>
    </row>
    <row r="216">
      <c r="A216" s="119"/>
      <c r="B216" s="120"/>
      <c r="C216" s="112"/>
      <c r="D216" s="121"/>
      <c r="F216" s="122"/>
      <c r="I216" s="92"/>
    </row>
    <row r="217">
      <c r="A217" s="119"/>
      <c r="B217" s="120"/>
      <c r="C217" s="112"/>
      <c r="D217" s="121"/>
      <c r="F217" s="122"/>
      <c r="I217" s="92"/>
    </row>
    <row r="218">
      <c r="A218" s="119"/>
      <c r="B218" s="120"/>
      <c r="C218" s="112"/>
      <c r="D218" s="121"/>
      <c r="F218" s="122"/>
      <c r="I218" s="92"/>
    </row>
    <row r="219">
      <c r="A219" s="119"/>
      <c r="B219" s="120"/>
      <c r="C219" s="112"/>
      <c r="D219" s="121"/>
      <c r="F219" s="122"/>
      <c r="I219" s="92"/>
    </row>
    <row r="220">
      <c r="A220" s="119"/>
      <c r="B220" s="120"/>
      <c r="C220" s="112"/>
      <c r="D220" s="121"/>
      <c r="F220" s="122"/>
      <c r="I220" s="92"/>
    </row>
    <row r="221">
      <c r="A221" s="119"/>
      <c r="B221" s="120"/>
      <c r="C221" s="112"/>
      <c r="D221" s="121"/>
      <c r="F221" s="122"/>
      <c r="I221" s="92"/>
    </row>
    <row r="222">
      <c r="A222" s="119"/>
      <c r="B222" s="120"/>
      <c r="C222" s="112"/>
      <c r="D222" s="121"/>
      <c r="F222" s="122"/>
      <c r="I222" s="92"/>
    </row>
    <row r="223">
      <c r="A223" s="119"/>
      <c r="B223" s="120"/>
      <c r="C223" s="112"/>
      <c r="D223" s="121"/>
      <c r="F223" s="122"/>
      <c r="I223" s="92"/>
    </row>
    <row r="224">
      <c r="A224" s="119"/>
      <c r="B224" s="120"/>
      <c r="C224" s="112"/>
      <c r="D224" s="121"/>
      <c r="F224" s="122"/>
      <c r="I224" s="92"/>
    </row>
    <row r="225">
      <c r="A225" s="119"/>
      <c r="B225" s="120"/>
      <c r="C225" s="112"/>
      <c r="D225" s="121"/>
      <c r="F225" s="122"/>
      <c r="I225" s="92"/>
    </row>
    <row r="226">
      <c r="A226" s="119"/>
      <c r="B226" s="120"/>
      <c r="C226" s="112"/>
      <c r="D226" s="121"/>
      <c r="F226" s="122"/>
      <c r="I226" s="92"/>
    </row>
    <row r="227">
      <c r="A227" s="119"/>
      <c r="B227" s="120"/>
      <c r="C227" s="112"/>
      <c r="D227" s="121"/>
      <c r="F227" s="122"/>
      <c r="I227" s="92"/>
    </row>
    <row r="228">
      <c r="A228" s="119"/>
      <c r="B228" s="120"/>
      <c r="C228" s="112"/>
      <c r="D228" s="121"/>
      <c r="F228" s="122"/>
      <c r="I228" s="92"/>
    </row>
    <row r="229">
      <c r="A229" s="119"/>
      <c r="B229" s="120"/>
      <c r="C229" s="112"/>
      <c r="D229" s="121"/>
      <c r="F229" s="122"/>
      <c r="I229" s="92"/>
    </row>
    <row r="230">
      <c r="A230" s="119"/>
      <c r="B230" s="120"/>
      <c r="C230" s="112"/>
      <c r="D230" s="121"/>
      <c r="F230" s="122"/>
      <c r="I230" s="92"/>
    </row>
    <row r="231">
      <c r="A231" s="119"/>
      <c r="B231" s="120"/>
      <c r="C231" s="112"/>
      <c r="D231" s="121"/>
      <c r="F231" s="122"/>
      <c r="I231" s="92"/>
    </row>
    <row r="232">
      <c r="A232" s="119"/>
      <c r="B232" s="120"/>
      <c r="C232" s="112"/>
      <c r="D232" s="121"/>
      <c r="F232" s="122"/>
      <c r="I232" s="92"/>
    </row>
    <row r="233">
      <c r="A233" s="119"/>
      <c r="B233" s="120"/>
      <c r="C233" s="112"/>
      <c r="D233" s="121"/>
      <c r="F233" s="122"/>
      <c r="I233" s="92"/>
    </row>
    <row r="234">
      <c r="A234" s="119"/>
      <c r="B234" s="120"/>
      <c r="C234" s="112"/>
      <c r="D234" s="121"/>
      <c r="F234" s="122"/>
      <c r="I234" s="92"/>
    </row>
    <row r="235">
      <c r="A235" s="123"/>
    </row>
    <row r="236">
      <c r="A236" s="123"/>
    </row>
    <row r="237">
      <c r="A237" s="123"/>
    </row>
    <row r="238">
      <c r="A238" s="123"/>
    </row>
    <row r="239">
      <c r="A239" s="123"/>
    </row>
    <row r="240">
      <c r="A240" s="123"/>
    </row>
    <row r="241">
      <c r="A241" s="123"/>
    </row>
    <row r="242">
      <c r="A242" s="123"/>
    </row>
    <row r="243">
      <c r="A243" s="123"/>
    </row>
    <row r="244">
      <c r="A244" s="123"/>
    </row>
    <row r="245">
      <c r="A245" s="123"/>
    </row>
    <row r="246">
      <c r="A246" s="123"/>
    </row>
    <row r="247">
      <c r="A247" s="123"/>
    </row>
    <row r="248">
      <c r="A248" s="123"/>
    </row>
    <row r="249">
      <c r="A249" s="123"/>
    </row>
    <row r="250">
      <c r="A250" s="123"/>
    </row>
    <row r="251">
      <c r="A251" s="123"/>
    </row>
    <row r="252">
      <c r="A252" s="123"/>
    </row>
    <row r="253">
      <c r="A253" s="123"/>
    </row>
    <row r="254">
      <c r="A254" s="123"/>
    </row>
    <row r="255">
      <c r="A255" s="123"/>
    </row>
    <row r="256">
      <c r="A256" s="123"/>
    </row>
    <row r="257">
      <c r="A257" s="123"/>
    </row>
    <row r="258">
      <c r="A258" s="123"/>
    </row>
    <row r="259">
      <c r="A259" s="123"/>
    </row>
    <row r="260">
      <c r="A260" s="123"/>
    </row>
    <row r="261">
      <c r="A261" s="123"/>
    </row>
    <row r="262">
      <c r="A262" s="123"/>
    </row>
    <row r="263">
      <c r="A263" s="123"/>
    </row>
    <row r="264">
      <c r="A264" s="123"/>
    </row>
    <row r="265">
      <c r="A265" s="123"/>
    </row>
    <row r="266">
      <c r="A266" s="123"/>
    </row>
    <row r="267">
      <c r="A267" s="123"/>
    </row>
    <row r="268">
      <c r="A268" s="123"/>
    </row>
    <row r="269">
      <c r="A269" s="123"/>
    </row>
    <row r="270">
      <c r="A270" s="123"/>
    </row>
    <row r="271">
      <c r="A271" s="123"/>
    </row>
    <row r="272">
      <c r="A272" s="123"/>
    </row>
    <row r="273">
      <c r="A273" s="123"/>
    </row>
    <row r="274">
      <c r="A274" s="123"/>
    </row>
    <row r="275">
      <c r="A275" s="123"/>
    </row>
    <row r="276">
      <c r="A276" s="123"/>
    </row>
    <row r="277">
      <c r="A277" s="123"/>
    </row>
    <row r="278">
      <c r="A278" s="123"/>
    </row>
    <row r="279">
      <c r="A279" s="123"/>
    </row>
    <row r="280">
      <c r="A280" s="123"/>
    </row>
    <row r="281">
      <c r="A281" s="123"/>
    </row>
    <row r="282">
      <c r="A282" s="123"/>
    </row>
    <row r="283">
      <c r="A283" s="123"/>
    </row>
    <row r="284">
      <c r="A284" s="123"/>
    </row>
    <row r="285">
      <c r="A285" s="123"/>
    </row>
    <row r="286">
      <c r="A286" s="123"/>
    </row>
    <row r="287">
      <c r="A287" s="123"/>
    </row>
    <row r="288">
      <c r="A288" s="123"/>
    </row>
    <row r="289">
      <c r="A289" s="123"/>
    </row>
    <row r="290">
      <c r="A290" s="123"/>
    </row>
    <row r="291">
      <c r="A291" s="123"/>
    </row>
    <row r="292">
      <c r="A292" s="123"/>
    </row>
    <row r="293">
      <c r="A293" s="123"/>
    </row>
    <row r="294">
      <c r="A294" s="123"/>
    </row>
    <row r="295">
      <c r="A295" s="123"/>
    </row>
    <row r="296">
      <c r="A296" s="123"/>
    </row>
    <row r="297">
      <c r="A297" s="123"/>
    </row>
    <row r="298">
      <c r="A298" s="123"/>
    </row>
    <row r="299">
      <c r="A299" s="123"/>
    </row>
    <row r="300">
      <c r="A300" s="123"/>
    </row>
    <row r="301">
      <c r="A301" s="123"/>
    </row>
    <row r="302">
      <c r="A302" s="123"/>
    </row>
    <row r="303">
      <c r="A303" s="123"/>
    </row>
    <row r="304">
      <c r="A304" s="123"/>
    </row>
    <row r="305">
      <c r="A305" s="123"/>
    </row>
    <row r="306">
      <c r="A306" s="123"/>
    </row>
    <row r="307">
      <c r="A307" s="123"/>
    </row>
    <row r="308">
      <c r="A308" s="123"/>
    </row>
    <row r="309">
      <c r="A309" s="123"/>
    </row>
    <row r="310">
      <c r="A310" s="123"/>
    </row>
    <row r="311">
      <c r="A311" s="123"/>
    </row>
    <row r="312">
      <c r="A312" s="123"/>
    </row>
    <row r="313">
      <c r="A313" s="123"/>
    </row>
    <row r="314">
      <c r="A314" s="123"/>
    </row>
    <row r="315">
      <c r="A315" s="123"/>
    </row>
    <row r="316">
      <c r="A316" s="123"/>
    </row>
    <row r="317">
      <c r="A317" s="123"/>
    </row>
    <row r="318">
      <c r="A318" s="123"/>
    </row>
    <row r="319">
      <c r="A319" s="123"/>
    </row>
    <row r="320">
      <c r="A320" s="123"/>
    </row>
    <row r="321">
      <c r="A321" s="123"/>
    </row>
    <row r="322">
      <c r="A322" s="123"/>
    </row>
    <row r="323">
      <c r="A323" s="123"/>
    </row>
    <row r="324">
      <c r="A324" s="123"/>
    </row>
    <row r="325">
      <c r="A325" s="123"/>
    </row>
    <row r="326">
      <c r="A326" s="123"/>
    </row>
    <row r="327">
      <c r="A327" s="123"/>
    </row>
    <row r="328">
      <c r="A328" s="123"/>
    </row>
    <row r="329">
      <c r="A329" s="123"/>
    </row>
    <row r="330">
      <c r="A330" s="123"/>
    </row>
    <row r="331">
      <c r="A331" s="123"/>
    </row>
    <row r="332">
      <c r="A332" s="123"/>
    </row>
    <row r="333">
      <c r="A333" s="123"/>
    </row>
    <row r="334">
      <c r="A334" s="123"/>
    </row>
    <row r="335">
      <c r="A335" s="123"/>
    </row>
    <row r="336">
      <c r="A336" s="123"/>
    </row>
    <row r="337">
      <c r="A337" s="123"/>
    </row>
    <row r="338">
      <c r="A338" s="123"/>
    </row>
    <row r="339">
      <c r="A339" s="123"/>
    </row>
    <row r="340">
      <c r="A340" s="123"/>
    </row>
    <row r="341">
      <c r="A341" s="123"/>
    </row>
    <row r="342">
      <c r="A342" s="123"/>
    </row>
    <row r="343">
      <c r="A343" s="123"/>
    </row>
    <row r="344">
      <c r="A344" s="123"/>
    </row>
    <row r="345">
      <c r="A345" s="123"/>
    </row>
    <row r="346">
      <c r="A346" s="123"/>
    </row>
    <row r="347">
      <c r="A347" s="123"/>
    </row>
    <row r="348">
      <c r="A348" s="123"/>
    </row>
    <row r="349">
      <c r="A349" s="123"/>
    </row>
    <row r="350">
      <c r="A350" s="123"/>
    </row>
    <row r="351">
      <c r="A351" s="123"/>
    </row>
    <row r="352">
      <c r="A352" s="123"/>
    </row>
    <row r="353">
      <c r="A353" s="123"/>
    </row>
    <row r="354">
      <c r="A354" s="123"/>
    </row>
    <row r="355">
      <c r="A355" s="123"/>
    </row>
    <row r="356">
      <c r="A356" s="123"/>
    </row>
    <row r="357">
      <c r="A357" s="123"/>
    </row>
    <row r="358">
      <c r="A358" s="123"/>
    </row>
    <row r="359">
      <c r="A359" s="123"/>
    </row>
    <row r="360">
      <c r="A360" s="123"/>
    </row>
    <row r="361">
      <c r="A361" s="123"/>
    </row>
    <row r="362">
      <c r="A362" s="123"/>
    </row>
    <row r="363">
      <c r="A363" s="123"/>
    </row>
    <row r="364">
      <c r="A364" s="123"/>
    </row>
    <row r="365">
      <c r="A365" s="123"/>
    </row>
    <row r="366">
      <c r="A366" s="123"/>
    </row>
    <row r="367">
      <c r="A367" s="123"/>
    </row>
    <row r="368">
      <c r="A368" s="123"/>
    </row>
    <row r="369">
      <c r="A369" s="123"/>
    </row>
    <row r="370">
      <c r="A370" s="123"/>
    </row>
    <row r="371">
      <c r="A371" s="123"/>
    </row>
    <row r="372">
      <c r="A372" s="123"/>
    </row>
    <row r="373">
      <c r="A373" s="123"/>
    </row>
    <row r="374">
      <c r="A374" s="123"/>
    </row>
    <row r="375">
      <c r="A375" s="123"/>
    </row>
    <row r="376">
      <c r="A376" s="123"/>
    </row>
    <row r="377">
      <c r="A377" s="123"/>
    </row>
    <row r="378">
      <c r="A378" s="123"/>
    </row>
    <row r="379">
      <c r="A379" s="123"/>
    </row>
    <row r="380">
      <c r="A380" s="123"/>
    </row>
    <row r="381">
      <c r="A381" s="123"/>
    </row>
    <row r="382">
      <c r="A382" s="123"/>
    </row>
    <row r="383">
      <c r="A383" s="123"/>
    </row>
    <row r="384">
      <c r="A384" s="123"/>
    </row>
    <row r="385">
      <c r="A385" s="123"/>
    </row>
    <row r="386">
      <c r="A386" s="123"/>
    </row>
    <row r="387">
      <c r="A387" s="123"/>
    </row>
    <row r="388">
      <c r="A388" s="123"/>
    </row>
    <row r="389">
      <c r="A389" s="123"/>
    </row>
    <row r="390">
      <c r="A390" s="123"/>
    </row>
    <row r="391">
      <c r="A391" s="123"/>
    </row>
    <row r="392">
      <c r="A392" s="123"/>
    </row>
    <row r="393">
      <c r="A393" s="123"/>
    </row>
    <row r="394">
      <c r="A394" s="123"/>
    </row>
    <row r="395">
      <c r="A395" s="123"/>
    </row>
    <row r="396">
      <c r="A396" s="123"/>
    </row>
    <row r="397">
      <c r="A397" s="123"/>
    </row>
    <row r="398">
      <c r="A398" s="123"/>
    </row>
    <row r="399">
      <c r="A399" s="123"/>
    </row>
    <row r="400">
      <c r="A400" s="123"/>
    </row>
    <row r="401">
      <c r="A401" s="123"/>
    </row>
    <row r="402">
      <c r="A402" s="123"/>
    </row>
    <row r="403">
      <c r="A403" s="123"/>
    </row>
    <row r="404">
      <c r="A404" s="123"/>
    </row>
    <row r="405">
      <c r="A405" s="123"/>
    </row>
    <row r="406">
      <c r="A406" s="123"/>
    </row>
    <row r="407">
      <c r="A407" s="123"/>
    </row>
    <row r="408">
      <c r="A408" s="123"/>
    </row>
    <row r="409">
      <c r="A409" s="123"/>
    </row>
    <row r="410">
      <c r="A410" s="123"/>
    </row>
    <row r="411">
      <c r="A411" s="123"/>
    </row>
    <row r="412">
      <c r="A412" s="123"/>
    </row>
    <row r="413">
      <c r="A413" s="123"/>
    </row>
    <row r="414">
      <c r="A414" s="123"/>
    </row>
    <row r="415">
      <c r="A415" s="123"/>
    </row>
    <row r="416">
      <c r="A416" s="123"/>
    </row>
    <row r="417">
      <c r="A417" s="123"/>
    </row>
    <row r="418">
      <c r="A418" s="123"/>
    </row>
    <row r="419">
      <c r="A419" s="123"/>
    </row>
    <row r="420">
      <c r="A420" s="123"/>
    </row>
    <row r="421">
      <c r="A421" s="123"/>
    </row>
    <row r="422">
      <c r="A422" s="123"/>
    </row>
    <row r="423">
      <c r="A423" s="123"/>
    </row>
    <row r="424">
      <c r="A424" s="123"/>
    </row>
    <row r="425">
      <c r="A425" s="123"/>
    </row>
    <row r="426">
      <c r="A426" s="123"/>
    </row>
    <row r="427">
      <c r="A427" s="123"/>
    </row>
    <row r="428">
      <c r="A428" s="123"/>
    </row>
    <row r="429">
      <c r="A429" s="123"/>
    </row>
    <row r="430">
      <c r="A430" s="123"/>
    </row>
    <row r="431">
      <c r="A431" s="123"/>
    </row>
    <row r="432">
      <c r="A432" s="123"/>
    </row>
    <row r="433">
      <c r="A433" s="123"/>
    </row>
    <row r="434">
      <c r="A434" s="123"/>
    </row>
    <row r="435">
      <c r="A435" s="123"/>
    </row>
    <row r="436">
      <c r="A436" s="123"/>
    </row>
    <row r="437">
      <c r="A437" s="123"/>
    </row>
    <row r="438">
      <c r="A438" s="123"/>
    </row>
    <row r="439">
      <c r="A439" s="123"/>
    </row>
    <row r="440">
      <c r="A440" s="123"/>
    </row>
    <row r="441">
      <c r="A441" s="123"/>
    </row>
    <row r="442">
      <c r="A442" s="123"/>
    </row>
    <row r="443">
      <c r="A443" s="123"/>
    </row>
    <row r="444">
      <c r="A444" s="123"/>
    </row>
    <row r="445">
      <c r="A445" s="123"/>
    </row>
    <row r="446">
      <c r="A446" s="123"/>
    </row>
    <row r="447">
      <c r="A447" s="123"/>
    </row>
    <row r="448">
      <c r="A448" s="123"/>
    </row>
    <row r="449">
      <c r="A449" s="123"/>
    </row>
    <row r="450">
      <c r="A450" s="123"/>
    </row>
    <row r="451">
      <c r="A451" s="123"/>
    </row>
    <row r="452">
      <c r="A452" s="123"/>
    </row>
    <row r="453">
      <c r="A453" s="123"/>
    </row>
    <row r="454">
      <c r="A454" s="123"/>
    </row>
    <row r="455">
      <c r="A455" s="123"/>
    </row>
    <row r="456">
      <c r="A456" s="123"/>
    </row>
    <row r="457">
      <c r="A457" s="123"/>
    </row>
    <row r="458">
      <c r="A458" s="123"/>
    </row>
    <row r="459">
      <c r="A459" s="123"/>
    </row>
    <row r="460">
      <c r="A460" s="123"/>
    </row>
    <row r="461">
      <c r="A461" s="123"/>
    </row>
    <row r="462">
      <c r="A462" s="123"/>
    </row>
    <row r="463">
      <c r="A463" s="123"/>
    </row>
    <row r="464">
      <c r="A464" s="123"/>
    </row>
    <row r="465">
      <c r="A465" s="123"/>
    </row>
    <row r="466">
      <c r="A466" s="123"/>
    </row>
    <row r="467">
      <c r="A467" s="123"/>
    </row>
    <row r="468">
      <c r="A468" s="123"/>
    </row>
    <row r="469">
      <c r="A469" s="123"/>
    </row>
    <row r="470">
      <c r="A470" s="123"/>
    </row>
    <row r="471">
      <c r="A471" s="123"/>
    </row>
    <row r="472">
      <c r="A472" s="123"/>
    </row>
    <row r="473">
      <c r="A473" s="123"/>
    </row>
    <row r="474">
      <c r="A474" s="123"/>
    </row>
    <row r="475">
      <c r="A475" s="123"/>
    </row>
    <row r="476">
      <c r="A476" s="123"/>
    </row>
    <row r="477">
      <c r="A477" s="123"/>
    </row>
    <row r="478">
      <c r="A478" s="123"/>
    </row>
    <row r="479">
      <c r="A479" s="123"/>
    </row>
    <row r="480">
      <c r="A480" s="123"/>
    </row>
    <row r="481">
      <c r="A481" s="123"/>
    </row>
    <row r="482">
      <c r="A482" s="123"/>
    </row>
    <row r="483">
      <c r="A483" s="123"/>
    </row>
    <row r="484">
      <c r="A484" s="123"/>
    </row>
    <row r="485">
      <c r="A485" s="123"/>
    </row>
    <row r="486">
      <c r="A486" s="123"/>
    </row>
    <row r="487">
      <c r="A487" s="123"/>
    </row>
    <row r="488">
      <c r="A488" s="123"/>
    </row>
    <row r="489">
      <c r="A489" s="123"/>
    </row>
    <row r="490">
      <c r="A490" s="123"/>
    </row>
    <row r="491">
      <c r="A491" s="123"/>
    </row>
    <row r="492">
      <c r="A492" s="123"/>
    </row>
    <row r="493">
      <c r="A493" s="123"/>
    </row>
    <row r="494">
      <c r="A494" s="123"/>
    </row>
    <row r="495">
      <c r="A495" s="123"/>
    </row>
    <row r="496">
      <c r="A496" s="123"/>
    </row>
    <row r="497">
      <c r="A497" s="123"/>
    </row>
    <row r="498">
      <c r="A498" s="123"/>
    </row>
    <row r="499">
      <c r="A499" s="123"/>
    </row>
    <row r="500">
      <c r="A500" s="123"/>
    </row>
    <row r="501">
      <c r="A501" s="123"/>
    </row>
    <row r="502">
      <c r="A502" s="123"/>
    </row>
    <row r="503">
      <c r="A503" s="123"/>
    </row>
    <row r="504">
      <c r="A504" s="123"/>
    </row>
    <row r="505">
      <c r="A505" s="123"/>
    </row>
    <row r="506">
      <c r="A506" s="123"/>
    </row>
    <row r="507">
      <c r="A507" s="123"/>
    </row>
    <row r="508">
      <c r="A508" s="123"/>
    </row>
    <row r="509">
      <c r="A509" s="123"/>
    </row>
    <row r="510">
      <c r="A510" s="123"/>
    </row>
    <row r="511">
      <c r="A511" s="123"/>
    </row>
    <row r="512">
      <c r="A512" s="123"/>
    </row>
    <row r="513">
      <c r="A513" s="123"/>
    </row>
    <row r="514">
      <c r="A514" s="123"/>
    </row>
    <row r="515">
      <c r="A515" s="123"/>
    </row>
    <row r="516">
      <c r="A516" s="123"/>
    </row>
    <row r="517">
      <c r="A517" s="123"/>
    </row>
    <row r="518">
      <c r="A518" s="123"/>
    </row>
    <row r="519">
      <c r="A519" s="123"/>
    </row>
    <row r="520">
      <c r="A520" s="123"/>
    </row>
    <row r="521">
      <c r="A521" s="123"/>
    </row>
    <row r="522">
      <c r="A522" s="123"/>
    </row>
    <row r="523">
      <c r="A523" s="123"/>
    </row>
    <row r="524">
      <c r="A524" s="123"/>
    </row>
    <row r="525">
      <c r="A525" s="123"/>
    </row>
    <row r="526">
      <c r="A526" s="123"/>
    </row>
    <row r="527">
      <c r="A527" s="123"/>
    </row>
    <row r="528">
      <c r="A528" s="123"/>
    </row>
    <row r="529">
      <c r="A529" s="123"/>
    </row>
    <row r="530">
      <c r="A530" s="123"/>
    </row>
    <row r="531">
      <c r="A531" s="123"/>
    </row>
    <row r="532">
      <c r="A532" s="123"/>
    </row>
    <row r="533">
      <c r="A533" s="123"/>
    </row>
    <row r="534">
      <c r="A534" s="123"/>
    </row>
    <row r="535">
      <c r="A535" s="123"/>
    </row>
    <row r="536">
      <c r="A536" s="123"/>
    </row>
    <row r="537">
      <c r="A537" s="123"/>
    </row>
    <row r="538">
      <c r="A538" s="123"/>
    </row>
    <row r="539">
      <c r="A539" s="123"/>
    </row>
    <row r="540">
      <c r="A540" s="123"/>
    </row>
    <row r="541">
      <c r="A541" s="123"/>
    </row>
    <row r="542">
      <c r="A542" s="123"/>
    </row>
    <row r="543">
      <c r="A543" s="123"/>
    </row>
    <row r="544">
      <c r="A544" s="123"/>
    </row>
    <row r="545">
      <c r="A545" s="123"/>
    </row>
    <row r="546">
      <c r="A546" s="123"/>
    </row>
    <row r="547">
      <c r="A547" s="123"/>
    </row>
    <row r="548">
      <c r="A548" s="123"/>
    </row>
    <row r="549">
      <c r="A549" s="123"/>
    </row>
    <row r="550">
      <c r="A550" s="123"/>
    </row>
    <row r="551">
      <c r="A551" s="123"/>
    </row>
    <row r="552">
      <c r="A552" s="123"/>
    </row>
    <row r="553">
      <c r="A553" s="123"/>
    </row>
    <row r="554">
      <c r="A554" s="123"/>
    </row>
    <row r="555">
      <c r="A555" s="123"/>
    </row>
    <row r="556">
      <c r="A556" s="123"/>
    </row>
    <row r="557">
      <c r="A557" s="123"/>
    </row>
    <row r="558">
      <c r="A558" s="123"/>
    </row>
    <row r="559">
      <c r="A559" s="123"/>
    </row>
    <row r="560">
      <c r="A560" s="123"/>
    </row>
    <row r="561">
      <c r="A561" s="123"/>
    </row>
    <row r="562">
      <c r="A562" s="123"/>
    </row>
    <row r="563">
      <c r="A563" s="123"/>
    </row>
    <row r="564">
      <c r="A564" s="123"/>
    </row>
    <row r="565">
      <c r="A565" s="123"/>
    </row>
    <row r="566">
      <c r="A566" s="123"/>
    </row>
    <row r="567">
      <c r="A567" s="123"/>
    </row>
    <row r="568">
      <c r="A568" s="123"/>
    </row>
    <row r="569">
      <c r="A569" s="123"/>
    </row>
    <row r="570">
      <c r="A570" s="123"/>
    </row>
    <row r="571">
      <c r="A571" s="123"/>
    </row>
    <row r="572">
      <c r="A572" s="123"/>
    </row>
    <row r="573">
      <c r="A573" s="123"/>
    </row>
    <row r="574">
      <c r="A574" s="123"/>
    </row>
    <row r="575">
      <c r="A575" s="123"/>
    </row>
    <row r="576">
      <c r="A576" s="123"/>
    </row>
    <row r="577">
      <c r="A577" s="123"/>
    </row>
    <row r="578">
      <c r="A578" s="123"/>
    </row>
    <row r="579">
      <c r="A579" s="123"/>
    </row>
    <row r="580">
      <c r="A580" s="123"/>
    </row>
    <row r="581">
      <c r="A581" s="123"/>
    </row>
    <row r="582">
      <c r="A582" s="123"/>
    </row>
    <row r="583">
      <c r="A583" s="123"/>
    </row>
    <row r="584">
      <c r="A584" s="123"/>
    </row>
    <row r="585">
      <c r="A585" s="123"/>
    </row>
    <row r="586">
      <c r="A586" s="123"/>
    </row>
    <row r="587">
      <c r="A587" s="123"/>
    </row>
    <row r="588">
      <c r="A588" s="123"/>
    </row>
    <row r="589">
      <c r="A589" s="123"/>
    </row>
    <row r="590">
      <c r="A590" s="123"/>
    </row>
    <row r="591">
      <c r="A591" s="123"/>
    </row>
    <row r="592">
      <c r="A592" s="123"/>
    </row>
    <row r="593">
      <c r="A593" s="123"/>
    </row>
    <row r="594">
      <c r="A594" s="123"/>
    </row>
    <row r="595">
      <c r="A595" s="123"/>
    </row>
    <row r="596">
      <c r="A596" s="123"/>
    </row>
    <row r="597">
      <c r="A597" s="123"/>
    </row>
    <row r="598">
      <c r="A598" s="123"/>
    </row>
    <row r="599">
      <c r="A599" s="123"/>
    </row>
    <row r="600">
      <c r="A600" s="123"/>
    </row>
    <row r="601">
      <c r="A601" s="123"/>
    </row>
    <row r="602">
      <c r="A602" s="123"/>
    </row>
    <row r="603">
      <c r="A603" s="123"/>
    </row>
    <row r="604">
      <c r="A604" s="123"/>
    </row>
    <row r="605">
      <c r="A605" s="123"/>
    </row>
    <row r="606">
      <c r="A606" s="123"/>
    </row>
    <row r="607">
      <c r="A607" s="123"/>
    </row>
    <row r="608">
      <c r="A608" s="123"/>
    </row>
    <row r="609">
      <c r="A609" s="123"/>
    </row>
    <row r="610">
      <c r="A610" s="123"/>
    </row>
    <row r="611">
      <c r="A611" s="123"/>
    </row>
    <row r="612">
      <c r="A612" s="123"/>
    </row>
    <row r="613">
      <c r="A613" s="123"/>
    </row>
    <row r="614">
      <c r="A614" s="123"/>
    </row>
    <row r="615">
      <c r="A615" s="123"/>
    </row>
    <row r="616">
      <c r="A616" s="123"/>
    </row>
    <row r="617">
      <c r="A617" s="123"/>
    </row>
    <row r="618">
      <c r="A618" s="123"/>
    </row>
    <row r="619">
      <c r="A619" s="123"/>
    </row>
    <row r="620">
      <c r="A620" s="123"/>
    </row>
    <row r="621">
      <c r="A621" s="123"/>
    </row>
    <row r="622">
      <c r="A622" s="123"/>
    </row>
    <row r="623">
      <c r="A623" s="123"/>
    </row>
    <row r="624">
      <c r="A624" s="123"/>
    </row>
    <row r="625">
      <c r="A625" s="123"/>
    </row>
    <row r="626">
      <c r="A626" s="123"/>
    </row>
    <row r="627">
      <c r="A627" s="123"/>
    </row>
    <row r="628">
      <c r="A628" s="123"/>
    </row>
    <row r="629">
      <c r="A629" s="123"/>
    </row>
    <row r="630">
      <c r="A630" s="123"/>
    </row>
    <row r="631">
      <c r="A631" s="123"/>
    </row>
    <row r="632">
      <c r="A632" s="123"/>
    </row>
    <row r="633">
      <c r="A633" s="123"/>
    </row>
    <row r="634">
      <c r="A634" s="123"/>
    </row>
    <row r="635">
      <c r="A635" s="123"/>
    </row>
    <row r="636">
      <c r="A636" s="123"/>
    </row>
    <row r="637">
      <c r="A637" s="123"/>
    </row>
    <row r="638">
      <c r="A638" s="123"/>
    </row>
    <row r="639">
      <c r="A639" s="123"/>
    </row>
    <row r="640">
      <c r="A640" s="123"/>
    </row>
    <row r="641">
      <c r="A641" s="123"/>
    </row>
    <row r="642">
      <c r="A642" s="123"/>
    </row>
    <row r="643">
      <c r="A643" s="123"/>
    </row>
    <row r="644">
      <c r="A644" s="123"/>
    </row>
    <row r="645">
      <c r="A645" s="123"/>
    </row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conditionalFormatting sqref="A2:B101">
    <cfRule type="containsText" dxfId="0" priority="1" operator="containsText" text="TRUE">
      <formula>NOT(ISERROR(SEARCH(("TRUE"),(A2))))</formula>
    </cfRule>
  </conditionalFormatting>
  <conditionalFormatting sqref="A2:B101">
    <cfRule type="containsText" dxfId="1" priority="2" operator="containsText" text="FALSE">
      <formula>NOT(ISERROR(SEARCH(("FALSE"),(A2))))</formula>
    </cfRule>
  </conditionalFormatting>
  <dataValidations>
    <dataValidation type="list" allowBlank="1" showErrorMessage="1" sqref="G3:G99">
      <formula1>"โอนแล้ว,ยังไม่โอน,โอนแล้ว 50%"</formula1>
    </dataValidation>
  </dataValidations>
  <drawing r:id="rId1"/>
</worksheet>
</file>